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iveeur-my.sharepoint.com/personal/756698ac_eur_nl/Documents/"/>
    </mc:Choice>
  </mc:AlternateContent>
  <xr:revisionPtr revIDLastSave="188" documentId="11_C6AC0B560342E93CE1EB86A2E37DD3242D52F6A7" xr6:coauthVersionLast="47" xr6:coauthVersionMax="47" xr10:uidLastSave="{FB7B371F-36C4-4552-AE50-CD530DACA908}"/>
  <bookViews>
    <workbookView xWindow="-98" yWindow="-98" windowWidth="21795" windowHeight="12975" tabRatio="500" xr2:uid="{00000000-000D-0000-FFFF-FFFF00000000}"/>
  </bookViews>
  <sheets>
    <sheet name="00_Cover" sheetId="1" r:id="rId1"/>
    <sheet name="01_Inputs" sheetId="2" r:id="rId2"/>
    <sheet name="02_Assumptions" sheetId="3" r:id="rId3"/>
    <sheet name="03_FS_Restated" sheetId="4" r:id="rId4"/>
    <sheet name="04_Ratios" sheetId="5" r:id="rId5"/>
    <sheet name="05_CCC" sheetId="6" r:id="rId6"/>
    <sheet name="06_Peer_Inputs" sheetId="7" r:id="rId7"/>
    <sheet name="07_Peer_Benchmark" sheetId="8" r:id="rId8"/>
    <sheet name="08_Dashboard" sheetId="9" r:id="rId9"/>
    <sheet name="09_Reference"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4" i="9" l="1"/>
  <c r="F73" i="8"/>
  <c r="E73" i="8"/>
  <c r="D73" i="8"/>
  <c r="C73" i="8"/>
  <c r="F72" i="8"/>
  <c r="E72" i="8"/>
  <c r="D72" i="8"/>
  <c r="C72" i="8"/>
  <c r="F71" i="8"/>
  <c r="E71" i="8"/>
  <c r="D71" i="8"/>
  <c r="C71" i="8"/>
  <c r="F70" i="8"/>
  <c r="E70" i="8"/>
  <c r="D70" i="8"/>
  <c r="C70" i="8"/>
  <c r="F69" i="8"/>
  <c r="E69" i="8"/>
  <c r="D69" i="8"/>
  <c r="C69" i="8"/>
  <c r="F68" i="8"/>
  <c r="E68" i="8"/>
  <c r="D68" i="8"/>
  <c r="C68" i="8"/>
  <c r="C60" i="8"/>
  <c r="C54" i="8"/>
  <c r="C55" i="8" s="1"/>
  <c r="E48" i="8"/>
  <c r="C48" i="8"/>
  <c r="E40" i="8"/>
  <c r="G40" i="8" s="1"/>
  <c r="D40" i="8"/>
  <c r="C40" i="8"/>
  <c r="E39" i="8"/>
  <c r="G39" i="8" s="1"/>
  <c r="D39" i="8"/>
  <c r="C39" i="8"/>
  <c r="E38" i="8"/>
  <c r="E41" i="8" s="1"/>
  <c r="D38" i="8"/>
  <c r="C38" i="8"/>
  <c r="C41" i="8" s="1"/>
  <c r="E34" i="8"/>
  <c r="D34" i="8"/>
  <c r="C34" i="8"/>
  <c r="E33" i="8"/>
  <c r="D27" i="9" s="1"/>
  <c r="D33" i="8"/>
  <c r="C33" i="8"/>
  <c r="E32" i="8"/>
  <c r="D32" i="8"/>
  <c r="C32" i="8"/>
  <c r="E28" i="8"/>
  <c r="D28" i="8"/>
  <c r="C28" i="8"/>
  <c r="E27" i="8"/>
  <c r="D26" i="9" s="1"/>
  <c r="D27" i="8"/>
  <c r="C27" i="8"/>
  <c r="G27" i="8" s="1"/>
  <c r="E26" i="8"/>
  <c r="E29" i="8" s="1"/>
  <c r="D26" i="8"/>
  <c r="C26" i="8"/>
  <c r="C29" i="8" s="1"/>
  <c r="E22" i="8"/>
  <c r="E49" i="8" s="1"/>
  <c r="D22" i="8"/>
  <c r="C22" i="8"/>
  <c r="E21" i="8"/>
  <c r="D25" i="9" s="1"/>
  <c r="D21" i="8"/>
  <c r="C21" i="8"/>
  <c r="E20" i="8"/>
  <c r="D20" i="8"/>
  <c r="C20" i="8"/>
  <c r="E16" i="8"/>
  <c r="D49" i="8" s="1"/>
  <c r="D16" i="8"/>
  <c r="C16" i="8"/>
  <c r="E15" i="8"/>
  <c r="D48" i="8" s="1"/>
  <c r="G48" i="8" s="1"/>
  <c r="D15" i="8"/>
  <c r="C15" i="8"/>
  <c r="G15" i="8" s="1"/>
  <c r="E14" i="8"/>
  <c r="E17" i="8" s="1"/>
  <c r="D14" i="8"/>
  <c r="C14" i="8"/>
  <c r="C17" i="8" s="1"/>
  <c r="E10" i="8"/>
  <c r="E23" i="9" s="1"/>
  <c r="D10" i="8"/>
  <c r="C10" i="8"/>
  <c r="E9" i="8"/>
  <c r="D23" i="9" s="1"/>
  <c r="D9" i="8"/>
  <c r="C9" i="8"/>
  <c r="G9" i="8" s="1"/>
  <c r="E8" i="8"/>
  <c r="D8" i="8"/>
  <c r="C8" i="8"/>
  <c r="C36" i="6"/>
  <c r="C35" i="6"/>
  <c r="C34" i="6"/>
  <c r="C33" i="6"/>
  <c r="C32" i="6"/>
  <c r="E9" i="6"/>
  <c r="D9" i="6"/>
  <c r="C9" i="6"/>
  <c r="E53" i="4"/>
  <c r="D53" i="4"/>
  <c r="C53" i="4"/>
  <c r="E52" i="4"/>
  <c r="D52" i="4"/>
  <c r="C52" i="4"/>
  <c r="E51" i="4"/>
  <c r="D51" i="4"/>
  <c r="C51" i="4"/>
  <c r="E50" i="4"/>
  <c r="D50" i="4"/>
  <c r="C50" i="4"/>
  <c r="E42" i="4"/>
  <c r="D42" i="4"/>
  <c r="G42" i="4" s="1"/>
  <c r="C42" i="4"/>
  <c r="E41" i="4"/>
  <c r="D41" i="4"/>
  <c r="C41" i="4"/>
  <c r="E40" i="4"/>
  <c r="D40" i="4"/>
  <c r="G40" i="4" s="1"/>
  <c r="C40" i="4"/>
  <c r="E39" i="4"/>
  <c r="D39" i="4"/>
  <c r="C39" i="4"/>
  <c r="E38" i="4"/>
  <c r="D38" i="4"/>
  <c r="C38" i="4"/>
  <c r="E37" i="4"/>
  <c r="H37" i="4" s="1"/>
  <c r="D37" i="4"/>
  <c r="G37" i="4" s="1"/>
  <c r="C37" i="4"/>
  <c r="E36" i="4"/>
  <c r="D36" i="4"/>
  <c r="C36" i="4"/>
  <c r="E35" i="4"/>
  <c r="D35" i="4"/>
  <c r="C35" i="4"/>
  <c r="E34" i="4"/>
  <c r="D34" i="4"/>
  <c r="C34" i="4"/>
  <c r="E33" i="4"/>
  <c r="H33" i="4" s="1"/>
  <c r="D33" i="4"/>
  <c r="C33" i="4"/>
  <c r="E32" i="4"/>
  <c r="H32" i="4" s="1"/>
  <c r="D32" i="4"/>
  <c r="D13" i="5" s="1"/>
  <c r="C32" i="4"/>
  <c r="E31" i="4"/>
  <c r="E26" i="5" s="1"/>
  <c r="D31" i="4"/>
  <c r="D8" i="6" s="1"/>
  <c r="C31" i="4"/>
  <c r="C8" i="6" s="1"/>
  <c r="E30" i="4"/>
  <c r="E7" i="6" s="1"/>
  <c r="D30" i="4"/>
  <c r="C30" i="4"/>
  <c r="E25" i="4"/>
  <c r="D25" i="4"/>
  <c r="C25" i="4"/>
  <c r="E24" i="4"/>
  <c r="D24" i="4"/>
  <c r="C24" i="4"/>
  <c r="E23" i="4"/>
  <c r="D23" i="4"/>
  <c r="C23" i="4"/>
  <c r="E22" i="4"/>
  <c r="D22" i="4"/>
  <c r="D46" i="4" s="1"/>
  <c r="D10" i="5" s="1"/>
  <c r="C22" i="4"/>
  <c r="E21" i="4"/>
  <c r="D21" i="4"/>
  <c r="C21" i="4"/>
  <c r="E20" i="4"/>
  <c r="D20" i="4"/>
  <c r="C20" i="4"/>
  <c r="E19" i="4"/>
  <c r="D19" i="4"/>
  <c r="C19" i="4"/>
  <c r="C15" i="6" s="1"/>
  <c r="E18" i="4"/>
  <c r="H18" i="4" s="1"/>
  <c r="D18" i="4"/>
  <c r="G18" i="4" s="1"/>
  <c r="C18" i="4"/>
  <c r="F24" i="4" s="1"/>
  <c r="E17" i="4"/>
  <c r="D17" i="4"/>
  <c r="C17" i="4"/>
  <c r="E16" i="4"/>
  <c r="H16" i="4" s="1"/>
  <c r="D16" i="4"/>
  <c r="C16" i="4"/>
  <c r="E15" i="4"/>
  <c r="D15" i="4"/>
  <c r="C15" i="4"/>
  <c r="E14" i="4"/>
  <c r="D14" i="4"/>
  <c r="C14" i="4"/>
  <c r="E13" i="4"/>
  <c r="D13" i="4"/>
  <c r="C13" i="4"/>
  <c r="E12" i="4"/>
  <c r="D12" i="4"/>
  <c r="C12" i="4"/>
  <c r="E11" i="4"/>
  <c r="E12" i="6" s="1"/>
  <c r="D11" i="4"/>
  <c r="C11" i="4"/>
  <c r="C12" i="6" s="1"/>
  <c r="E10" i="4"/>
  <c r="D10" i="4"/>
  <c r="C10" i="4"/>
  <c r="C11" i="6" s="1"/>
  <c r="E9" i="4"/>
  <c r="D9" i="4"/>
  <c r="C9" i="4"/>
  <c r="E8" i="4"/>
  <c r="H8" i="4" s="1"/>
  <c r="D8" i="4"/>
  <c r="C8" i="4"/>
  <c r="E7" i="4"/>
  <c r="D7" i="4"/>
  <c r="C7" i="4"/>
  <c r="F125" i="2"/>
  <c r="F124" i="2"/>
  <c r="E124" i="2"/>
  <c r="D124" i="2"/>
  <c r="F123" i="2"/>
  <c r="E123" i="2"/>
  <c r="D123" i="2"/>
  <c r="F122" i="2"/>
  <c r="E122" i="2"/>
  <c r="D122" i="2"/>
  <c r="F121" i="2"/>
  <c r="E121" i="2"/>
  <c r="D121" i="2"/>
  <c r="F120" i="2"/>
  <c r="E120" i="2"/>
  <c r="D120" i="2"/>
  <c r="F119" i="2"/>
  <c r="E119" i="2"/>
  <c r="D119" i="2"/>
  <c r="F118" i="2"/>
  <c r="E118" i="2"/>
  <c r="D118" i="2"/>
  <c r="F117" i="2"/>
  <c r="E117" i="2"/>
  <c r="D117" i="2"/>
  <c r="F116" i="2"/>
  <c r="E116" i="2"/>
  <c r="D116" i="2"/>
  <c r="F115" i="2"/>
  <c r="E115" i="2"/>
  <c r="D115" i="2"/>
  <c r="F114" i="2"/>
  <c r="E114" i="2"/>
  <c r="D114" i="2"/>
  <c r="F113" i="2"/>
  <c r="E113" i="2"/>
  <c r="D113" i="2"/>
  <c r="F112" i="2"/>
  <c r="E112" i="2"/>
  <c r="F111" i="2"/>
  <c r="E111" i="2"/>
  <c r="D111" i="2"/>
  <c r="F110" i="2"/>
  <c r="E110" i="2"/>
  <c r="D110" i="2"/>
  <c r="F109" i="2"/>
  <c r="E109" i="2"/>
  <c r="D109" i="2"/>
  <c r="F105" i="2"/>
  <c r="E105" i="2"/>
  <c r="D105" i="2"/>
  <c r="F102" i="2"/>
  <c r="F103" i="2" s="1"/>
  <c r="F126" i="2" s="1"/>
  <c r="E102" i="2"/>
  <c r="E103" i="2" s="1"/>
  <c r="E126" i="2" s="1"/>
  <c r="D102" i="2"/>
  <c r="D103" i="2" s="1"/>
  <c r="D126" i="2" s="1"/>
  <c r="F74" i="2"/>
  <c r="E74" i="2"/>
  <c r="D74" i="2"/>
  <c r="F52" i="2"/>
  <c r="E52" i="2"/>
  <c r="D52" i="2"/>
  <c r="F28" i="2"/>
  <c r="E28" i="2"/>
  <c r="D28" i="2"/>
  <c r="D112" i="2" s="1"/>
  <c r="F27" i="2"/>
  <c r="E27" i="2"/>
  <c r="D27" i="2"/>
  <c r="D17" i="8" l="1"/>
  <c r="G33" i="8"/>
  <c r="D29" i="8"/>
  <c r="G34" i="8"/>
  <c r="C11" i="8"/>
  <c r="E11" i="8"/>
  <c r="D41" i="8"/>
  <c r="G28" i="8"/>
  <c r="D11" i="8"/>
  <c r="E23" i="8"/>
  <c r="C35" i="8"/>
  <c r="C23" i="8"/>
  <c r="G23" i="8" s="1"/>
  <c r="G21" i="8"/>
  <c r="D23" i="8"/>
  <c r="E35" i="8"/>
  <c r="F27" i="9" s="1"/>
  <c r="G10" i="8"/>
  <c r="D35" i="8"/>
  <c r="E27" i="9"/>
  <c r="G33" i="4"/>
  <c r="E13" i="6"/>
  <c r="G8" i="4"/>
  <c r="H35" i="4"/>
  <c r="G21" i="4"/>
  <c r="C19" i="6"/>
  <c r="D23" i="5"/>
  <c r="C32" i="5"/>
  <c r="G19" i="4"/>
  <c r="E15" i="6"/>
  <c r="H19" i="4"/>
  <c r="F14" i="4"/>
  <c r="G10" i="4"/>
  <c r="C44" i="5"/>
  <c r="C45" i="5" s="1"/>
  <c r="C46" i="5" s="1"/>
  <c r="G34" i="4"/>
  <c r="H10" i="4"/>
  <c r="E46" i="4"/>
  <c r="E10" i="5" s="1"/>
  <c r="D30" i="5"/>
  <c r="H34" i="4"/>
  <c r="H17" i="4"/>
  <c r="F8" i="4"/>
  <c r="D43" i="4"/>
  <c r="D15" i="5" s="1"/>
  <c r="G14" i="4"/>
  <c r="H25" i="4"/>
  <c r="D12" i="6"/>
  <c r="D20" i="6" s="1"/>
  <c r="F35" i="4"/>
  <c r="H40" i="4"/>
  <c r="E32" i="5"/>
  <c r="E44" i="5"/>
  <c r="C18" i="5"/>
  <c r="H11" i="4"/>
  <c r="E9" i="5"/>
  <c r="D14" i="6"/>
  <c r="D22" i="6" s="1"/>
  <c r="D17" i="9" s="1"/>
  <c r="E14" i="6"/>
  <c r="C47" i="4"/>
  <c r="D47" i="4"/>
  <c r="E10" i="6"/>
  <c r="E18" i="6" s="1"/>
  <c r="E16" i="9" s="1"/>
  <c r="G24" i="4"/>
  <c r="D22" i="5"/>
  <c r="D9" i="5"/>
  <c r="D40" i="5"/>
  <c r="G12" i="4"/>
  <c r="G17" i="4"/>
  <c r="F22" i="4"/>
  <c r="E19" i="5"/>
  <c r="D15" i="6"/>
  <c r="D23" i="6" s="1"/>
  <c r="D18" i="9" s="1"/>
  <c r="C26" i="5"/>
  <c r="D25" i="5"/>
  <c r="F33" i="4"/>
  <c r="E40" i="5"/>
  <c r="F34" i="4"/>
  <c r="F41" i="4"/>
  <c r="D32" i="5"/>
  <c r="F42" i="4"/>
  <c r="C37" i="5"/>
  <c r="F10" i="4"/>
  <c r="E8" i="5"/>
  <c r="F30" i="4"/>
  <c r="D26" i="5"/>
  <c r="G30" i="4"/>
  <c r="F38" i="4"/>
  <c r="D37" i="5"/>
  <c r="H14" i="4"/>
  <c r="F18" i="4"/>
  <c r="C9" i="5"/>
  <c r="F15" i="4"/>
  <c r="F23" i="4"/>
  <c r="H30" i="4"/>
  <c r="G38" i="4"/>
  <c r="C38" i="5"/>
  <c r="D8" i="5"/>
  <c r="C49" i="6"/>
  <c r="C50" i="6" s="1"/>
  <c r="H38" i="4"/>
  <c r="C7" i="5"/>
  <c r="F39" i="4"/>
  <c r="E43" i="4"/>
  <c r="E7" i="5"/>
  <c r="D47" i="5"/>
  <c r="G13" i="4"/>
  <c r="F11" i="4"/>
  <c r="F19" i="4"/>
  <c r="G11" i="4"/>
  <c r="C26" i="4"/>
  <c r="E24" i="5"/>
  <c r="G35" i="4"/>
  <c r="G39" i="4"/>
  <c r="F32" i="4"/>
  <c r="H39" i="4"/>
  <c r="E13" i="5"/>
  <c r="D27" i="4"/>
  <c r="D13" i="6"/>
  <c r="D21" i="6" s="1"/>
  <c r="E27" i="4"/>
  <c r="E26" i="4"/>
  <c r="F40" i="4"/>
  <c r="C14" i="5"/>
  <c r="F16" i="4"/>
  <c r="F36" i="4"/>
  <c r="D14" i="5"/>
  <c r="C10" i="6"/>
  <c r="E30" i="5"/>
  <c r="H24" i="4"/>
  <c r="G32" i="4"/>
  <c r="G36" i="4"/>
  <c r="E17" i="5"/>
  <c r="F13" i="4"/>
  <c r="F17" i="4"/>
  <c r="F21" i="4"/>
  <c r="C31" i="5"/>
  <c r="H36" i="4"/>
  <c r="D19" i="5"/>
  <c r="E27" i="6"/>
  <c r="D34" i="6" s="1"/>
  <c r="C20" i="6"/>
  <c r="F24" i="9"/>
  <c r="D50" i="8"/>
  <c r="G17" i="8"/>
  <c r="F26" i="9"/>
  <c r="G29" i="8"/>
  <c r="G41" i="8"/>
  <c r="G49" i="8"/>
  <c r="C57" i="8" s="1"/>
  <c r="F23" i="9"/>
  <c r="C50" i="8"/>
  <c r="G11" i="8"/>
  <c r="D49" i="6"/>
  <c r="F25" i="9"/>
  <c r="E50" i="8"/>
  <c r="H48" i="8"/>
  <c r="H13" i="4"/>
  <c r="H21" i="4"/>
  <c r="D125" i="2"/>
  <c r="G16" i="4"/>
  <c r="C13" i="5"/>
  <c r="D18" i="5"/>
  <c r="E25" i="5"/>
  <c r="C36" i="5"/>
  <c r="D44" i="5"/>
  <c r="E8" i="6"/>
  <c r="C14" i="6"/>
  <c r="C22" i="6" s="1"/>
  <c r="C17" i="9" s="1"/>
  <c r="C24" i="9"/>
  <c r="D24" i="9"/>
  <c r="E125" i="2"/>
  <c r="E18" i="5"/>
  <c r="D36" i="5"/>
  <c r="C47" i="8"/>
  <c r="C46" i="4"/>
  <c r="C10" i="5" s="1"/>
  <c r="C19" i="5"/>
  <c r="E36" i="5"/>
  <c r="D47" i="8"/>
  <c r="C25" i="9"/>
  <c r="F9" i="4"/>
  <c r="H22" i="4"/>
  <c r="F25" i="4"/>
  <c r="H41" i="4"/>
  <c r="D7" i="5"/>
  <c r="E14" i="5"/>
  <c r="C22" i="5"/>
  <c r="D29" i="5"/>
  <c r="E37" i="5"/>
  <c r="D10" i="6"/>
  <c r="C23" i="6"/>
  <c r="C18" i="9" s="1"/>
  <c r="E25" i="9"/>
  <c r="H9" i="4"/>
  <c r="F12" i="4"/>
  <c r="F20" i="4"/>
  <c r="F31" i="4"/>
  <c r="E47" i="4"/>
  <c r="C8" i="5"/>
  <c r="E22" i="5"/>
  <c r="C30" i="5"/>
  <c r="D38" i="5"/>
  <c r="G20" i="4"/>
  <c r="G31" i="4"/>
  <c r="C23" i="5"/>
  <c r="E38" i="5"/>
  <c r="C47" i="5"/>
  <c r="D11" i="6"/>
  <c r="D19" i="6" s="1"/>
  <c r="C26" i="9"/>
  <c r="G8" i="8"/>
  <c r="G20" i="8"/>
  <c r="G32" i="8"/>
  <c r="G9" i="4"/>
  <c r="F7" i="4"/>
  <c r="D26" i="4"/>
  <c r="H31" i="4"/>
  <c r="D16" i="5"/>
  <c r="E23" i="5"/>
  <c r="E47" i="5"/>
  <c r="E26" i="9"/>
  <c r="G26" i="8"/>
  <c r="G25" i="4"/>
  <c r="G15" i="4"/>
  <c r="G23" i="4"/>
  <c r="H7" i="4"/>
  <c r="H15" i="4"/>
  <c r="H23" i="4"/>
  <c r="C27" i="4"/>
  <c r="F37" i="4"/>
  <c r="H42" i="4"/>
  <c r="E16" i="5"/>
  <c r="C24" i="5"/>
  <c r="D31" i="5"/>
  <c r="C7" i="6"/>
  <c r="C27" i="6" s="1"/>
  <c r="C49" i="8"/>
  <c r="E47" i="8"/>
  <c r="G22" i="4"/>
  <c r="G41" i="4"/>
  <c r="C29" i="5"/>
  <c r="G14" i="8"/>
  <c r="G38" i="8"/>
  <c r="E29" i="5"/>
  <c r="H12" i="4"/>
  <c r="H20" i="4"/>
  <c r="C16" i="5"/>
  <c r="E11" i="6"/>
  <c r="G7" i="4"/>
  <c r="C43" i="4"/>
  <c r="C17" i="5"/>
  <c r="D24" i="5"/>
  <c r="E31" i="5"/>
  <c r="C40" i="5"/>
  <c r="D7" i="6"/>
  <c r="D27" i="6" s="1"/>
  <c r="G16" i="8"/>
  <c r="G22" i="8"/>
  <c r="C23" i="9"/>
  <c r="C27" i="9"/>
  <c r="D17" i="5"/>
  <c r="C13" i="6"/>
  <c r="C21" i="6" s="1"/>
  <c r="C25" i="5"/>
  <c r="G47" i="8" l="1"/>
  <c r="G35" i="8"/>
  <c r="E23" i="6"/>
  <c r="E18" i="9" s="1"/>
  <c r="D45" i="5"/>
  <c r="D46" i="5" s="1"/>
  <c r="D32" i="6"/>
  <c r="D11" i="9"/>
  <c r="D36" i="6"/>
  <c r="F18" i="9"/>
  <c r="D50" i="6"/>
  <c r="G43" i="4"/>
  <c r="C39" i="5"/>
  <c r="D33" i="6"/>
  <c r="E39" i="5"/>
  <c r="D35" i="6"/>
  <c r="E19" i="6"/>
  <c r="E15" i="5"/>
  <c r="H43" i="4"/>
  <c r="F43" i="4"/>
  <c r="C15" i="5"/>
  <c r="E49" i="6"/>
  <c r="E50" i="6" s="1"/>
  <c r="E22" i="6"/>
  <c r="C18" i="6"/>
  <c r="H49" i="8"/>
  <c r="G7" i="9" s="1"/>
  <c r="C56" i="8"/>
  <c r="H47" i="8"/>
  <c r="D18" i="6"/>
  <c r="D39" i="5"/>
  <c r="G50" i="8"/>
  <c r="H50" i="8" s="1"/>
  <c r="E20" i="6"/>
  <c r="C58" i="8"/>
  <c r="C59" i="8" s="1"/>
  <c r="E21" i="6"/>
  <c r="E45" i="5"/>
  <c r="E46" i="5" s="1"/>
  <c r="C61" i="8" s="1"/>
  <c r="E17" i="9" l="1"/>
  <c r="F17" i="9" s="1"/>
  <c r="E24" i="6"/>
  <c r="C16" i="9"/>
  <c r="F16" i="9" s="1"/>
  <c r="C24" i="6"/>
  <c r="C62" i="8"/>
  <c r="G11" i="9"/>
  <c r="D16" i="9"/>
  <c r="D24" i="6"/>
  <c r="D28" i="6" l="1"/>
  <c r="D19" i="9"/>
  <c r="C28" i="6"/>
  <c r="C19" i="9"/>
  <c r="B7" i="9"/>
  <c r="E19" i="9"/>
  <c r="D7" i="9"/>
  <c r="E28" i="6"/>
  <c r="B11" i="9" s="1"/>
  <c r="F19" i="9" l="1"/>
</calcChain>
</file>

<file path=xl/sharedStrings.xml><?xml version="1.0" encoding="utf-8"?>
<sst xmlns="http://schemas.openxmlformats.org/spreadsheetml/2006/main" count="928" uniqueCount="700">
  <si>
    <t>WORKING CAPITAL DIAGNOSTIC - NHUA HA NOI (HNX: NHH)</t>
  </si>
  <si>
    <t>Cash conversion cycle analysis FY2023-FY2025, benchmarked against listed plastics contract manufacturers in Malaysia, Japan and Sweden.</t>
  </si>
  <si>
    <t>SHEET INDEX</t>
  </si>
  <si>
    <t>Sheet</t>
  </si>
  <si>
    <t>Description</t>
  </si>
  <si>
    <t>00_Cover</t>
  </si>
  <si>
    <t>Project information, colour legend, sheet index, changelog</t>
  </si>
  <si>
    <t>01_Inputs</t>
  </si>
  <si>
    <t>NHH consolidated audited financials - all hardcoded input</t>
  </si>
  <si>
    <t>02_Assumptions</t>
  </si>
  <si>
    <t>Drivers: days in period, CCC sensitivity scenarios</t>
  </si>
  <si>
    <t>03_FS_Restated</t>
  </si>
  <si>
    <t>VAS financials restated to an analytical format</t>
  </si>
  <si>
    <t>04_Ratios</t>
  </si>
  <si>
    <t>Liquidity, profitability, efficiency, leverage, DuPont</t>
  </si>
  <si>
    <t>05_CCC</t>
  </si>
  <si>
    <t>CCC decomposition, average-balance basis, sensitivity, purchases-basis DPO check</t>
  </si>
  <si>
    <t>06_Peer_Inputs</t>
  </si>
  <si>
    <t>Peer financials as reported, own currency, with extraction notes</t>
  </si>
  <si>
    <t>07_Peer_Benchmark</t>
  </si>
  <si>
    <t>Peer CCC comparison, payables gap and cash-release quantification</t>
  </si>
  <si>
    <t>08_Dashboard</t>
  </si>
  <si>
    <t>One-page executive summary</t>
  </si>
  <si>
    <t>09_Reference</t>
  </si>
  <si>
    <t>Glossary EN-VN, account codes, methodology notes</t>
  </si>
  <si>
    <t>01 - INPUT: FINANCIAL STATEMENTS, 3 YEARS (RAW)</t>
  </si>
  <si>
    <t>Khoản mục</t>
  </si>
  <si>
    <t>TK</t>
  </si>
  <si>
    <t>FY2023</t>
  </si>
  <si>
    <t>FY2024</t>
  </si>
  <si>
    <t>FY2025</t>
  </si>
  <si>
    <t>A. BALANCE SHEET (as reported under Circular 200)</t>
  </si>
  <si>
    <t>TÀI SẢN NGẮN HẠN</t>
  </si>
  <si>
    <t>100</t>
  </si>
  <si>
    <t>Tiền và tương đương tiền</t>
  </si>
  <si>
    <t>110</t>
  </si>
  <si>
    <t xml:space="preserve">  Tiền mặt</t>
  </si>
  <si>
    <t>111</t>
  </si>
  <si>
    <t xml:space="preserve">  Tiền gửi ngân hàng</t>
  </si>
  <si>
    <t>112</t>
  </si>
  <si>
    <t>Đầu tư tài chính ngắn hạn</t>
  </si>
  <si>
    <t>120</t>
  </si>
  <si>
    <t>Các khoản phải thu ngắn hạn</t>
  </si>
  <si>
    <t>130</t>
  </si>
  <si>
    <t xml:space="preserve">  Phải thu khách hàng</t>
  </si>
  <si>
    <t>131</t>
  </si>
  <si>
    <t xml:space="preserve">  Trả trước cho người bán</t>
  </si>
  <si>
    <t>331_prepaid</t>
  </si>
  <si>
    <t xml:space="preserve">  Phải thu khác (gồm cho vay NH)</t>
  </si>
  <si>
    <t>138</t>
  </si>
  <si>
    <t xml:space="preserve">  Dự phòng phải thu khó đòi (−)</t>
  </si>
  <si>
    <t>139</t>
  </si>
  <si>
    <t>Hàng tồn kho</t>
  </si>
  <si>
    <t>140</t>
  </si>
  <si>
    <t xml:space="preserve">  Nguyên vật liệu (NVL)</t>
  </si>
  <si>
    <t>152</t>
  </si>
  <si>
    <t xml:space="preserve">  Công cụ dụng cụ</t>
  </si>
  <si>
    <t>153</t>
  </si>
  <si>
    <t xml:space="preserve">  Chi phí SXKD dở dang (WIP)</t>
  </si>
  <si>
    <t>154</t>
  </si>
  <si>
    <t xml:space="preserve">  Thành phẩm (FG)</t>
  </si>
  <si>
    <t>155</t>
  </si>
  <si>
    <t xml:space="preserve">  Hàng hóa + đi đường + gửi bán</t>
  </si>
  <si>
    <t>156</t>
  </si>
  <si>
    <t xml:space="preserve">  Dự phòng giảm giá tồn kho (−)</t>
  </si>
  <si>
    <t>159</t>
  </si>
  <si>
    <t>Tài sản ngắn hạn khác</t>
  </si>
  <si>
    <t>150</t>
  </si>
  <si>
    <t>TÀI SẢN DÀI HẠN</t>
  </si>
  <si>
    <t>200</t>
  </si>
  <si>
    <t>Tài sản cố định (net)</t>
  </si>
  <si>
    <t>220</t>
  </si>
  <si>
    <t xml:space="preserve">  Nguyên giá TSCĐ</t>
  </si>
  <si>
    <t>211</t>
  </si>
  <si>
    <t xml:space="preserve">  Hao mòn luỹ kế TSCĐ (−)</t>
  </si>
  <si>
    <t>214</t>
  </si>
  <si>
    <t>Phải thu DH + Tài sản dở dang DH</t>
  </si>
  <si>
    <t>210_240</t>
  </si>
  <si>
    <t>Đầu tư tài chính dài hạn</t>
  </si>
  <si>
    <t>250</t>
  </si>
  <si>
    <t>Tài sản dài hạn khác</t>
  </si>
  <si>
    <t>260</t>
  </si>
  <si>
    <t>TỔNG CỘNG TÀI SẢN</t>
  </si>
  <si>
    <t>270</t>
  </si>
  <si>
    <t>NỢ PHẢI TRẢ</t>
  </si>
  <si>
    <t>300</t>
  </si>
  <si>
    <t>Nợ ngắn hạn</t>
  </si>
  <si>
    <t>310</t>
  </si>
  <si>
    <t xml:space="preserve">  Phải trả người bán</t>
  </si>
  <si>
    <t>331</t>
  </si>
  <si>
    <t xml:space="preserve">  Người mua trả tiền trước</t>
  </si>
  <si>
    <t>131_advance</t>
  </si>
  <si>
    <t xml:space="preserve">  Thuế và các khoản phải nộp NN</t>
  </si>
  <si>
    <t>333</t>
  </si>
  <si>
    <t xml:space="preserve">  Phải trả người lao động</t>
  </si>
  <si>
    <t>334</t>
  </si>
  <si>
    <t xml:space="preserve">  Chi phí phải trả</t>
  </si>
  <si>
    <t>335</t>
  </si>
  <si>
    <t xml:space="preserve">  Vay và nợ thuê tài chính NH</t>
  </si>
  <si>
    <t>341_short</t>
  </si>
  <si>
    <t xml:space="preserve">  Phải trả NH khác + quỹ KTPL</t>
  </si>
  <si>
    <t>338</t>
  </si>
  <si>
    <t>Nợ dài hạn</t>
  </si>
  <si>
    <t>330</t>
  </si>
  <si>
    <t xml:space="preserve">  Vay và nợ thuê tài chính DH</t>
  </si>
  <si>
    <t>341_long</t>
  </si>
  <si>
    <t>Lợi ích CĐ không kiểm soát (NCI)</t>
  </si>
  <si>
    <t>429</t>
  </si>
  <si>
    <t>VỐN CHỦ SỞ HỮU</t>
  </si>
  <si>
    <t>400</t>
  </si>
  <si>
    <t xml:space="preserve">  Vốn góp của chủ sở hữu</t>
  </si>
  <si>
    <t>411</t>
  </si>
  <si>
    <t xml:space="preserve">  Thặng dư vốn cổ phần</t>
  </si>
  <si>
    <t>412</t>
  </si>
  <si>
    <t xml:space="preserve">  Lợi nhuận sau thuế chưa PP</t>
  </si>
  <si>
    <t>421</t>
  </si>
  <si>
    <t xml:space="preserve">  Quỹ đầu tư phát triển</t>
  </si>
  <si>
    <t>414</t>
  </si>
  <si>
    <t>TỔNG NGUỒN VỐN</t>
  </si>
  <si>
    <t>440</t>
  </si>
  <si>
    <t>Check: Total assets - Total liabilities and equity</t>
  </si>
  <si>
    <t>B. INCOME STATEMENT (as reported under Circular 200)</t>
  </si>
  <si>
    <t>Doanh thu bán hàng và CCDV</t>
  </si>
  <si>
    <t>511</t>
  </si>
  <si>
    <t>Các khoản giảm trừ doanh thu</t>
  </si>
  <si>
    <t>521</t>
  </si>
  <si>
    <t>Doanh thu thuần</t>
  </si>
  <si>
    <t>10</t>
  </si>
  <si>
    <t>Giá vốn hàng bán (COGS)</t>
  </si>
  <si>
    <t>632</t>
  </si>
  <si>
    <t>Lợi nhuận gộp</t>
  </si>
  <si>
    <t>20</t>
  </si>
  <si>
    <t>Doanh thu hoạt động tài chính</t>
  </si>
  <si>
    <t>515</t>
  </si>
  <si>
    <t>Chi phí tài chính</t>
  </si>
  <si>
    <t>635</t>
  </si>
  <si>
    <t xml:space="preserve">  Trong đó: chi phí lãi vay</t>
  </si>
  <si>
    <t>635_int</t>
  </si>
  <si>
    <t>Chi phí bán hàng</t>
  </si>
  <si>
    <t>641</t>
  </si>
  <si>
    <t>Chi phí quản lý doanh nghiệp</t>
  </si>
  <si>
    <t>642</t>
  </si>
  <si>
    <t>Lợi nhuận thuần từ HĐKD</t>
  </si>
  <si>
    <t>30</t>
  </si>
  <si>
    <t>Thu nhập khác</t>
  </si>
  <si>
    <t>711</t>
  </si>
  <si>
    <t>Chi phí khác</t>
  </si>
  <si>
    <t>811</t>
  </si>
  <si>
    <t>Lợi nhuận trước thuế (EBT)</t>
  </si>
  <si>
    <t>50</t>
  </si>
  <si>
    <t>Chi phí thuế TNDN (tổng)</t>
  </si>
  <si>
    <t>821</t>
  </si>
  <si>
    <t>Lợi nhuận sau thuế (NI)</t>
  </si>
  <si>
    <t>60</t>
  </si>
  <si>
    <t>Phần lỗ trong công ty liên kết</t>
  </si>
  <si>
    <t>24_assoc</t>
  </si>
  <si>
    <t>Khấu hao trong kỳ (D&amp;A)</t>
  </si>
  <si>
    <t>214_dep</t>
  </si>
  <si>
    <t>EBITDA (calc)</t>
  </si>
  <si>
    <t>—</t>
  </si>
  <si>
    <t>C. CASH FLOW STATEMENT - indirect method</t>
  </si>
  <si>
    <t>I. LƯU CHUYỂN TỪ HOẠT ĐỘNG KINH DOANH</t>
  </si>
  <si>
    <t>Lợi nhuận trước thuế</t>
  </si>
  <si>
    <t>01</t>
  </si>
  <si>
    <t>Điều chỉnh: Khấu hao</t>
  </si>
  <si>
    <t>02</t>
  </si>
  <si>
    <t>Điều chỉnh: Dự phòng</t>
  </si>
  <si>
    <t>03</t>
  </si>
  <si>
    <t>Điều chỉnh: Lãi lỗ chênh lệch tỷ giá</t>
  </si>
  <si>
    <t>04</t>
  </si>
  <si>
    <t>Điều chỉnh: Lãi lỗ HĐ đầu tư</t>
  </si>
  <si>
    <t>05</t>
  </si>
  <si>
    <t>Điều chỉnh: Chi phí lãi vay</t>
  </si>
  <si>
    <t>06</t>
  </si>
  <si>
    <t>LN từ HĐKD trước thay đổi VLĐ</t>
  </si>
  <si>
    <t>08</t>
  </si>
  <si>
    <t>(±) Tăng giảm các khoản phải thu</t>
  </si>
  <si>
    <t>09</t>
  </si>
  <si>
    <t>(±) Tăng giảm hàng tồn kho</t>
  </si>
  <si>
    <t>(±) Tăng giảm các khoản phải trả</t>
  </si>
  <si>
    <t>11</t>
  </si>
  <si>
    <t>(±) Tăng giảm chi phí trả trước</t>
  </si>
  <si>
    <t>12</t>
  </si>
  <si>
    <t>Tiền lãi vay đã trả</t>
  </si>
  <si>
    <t>14</t>
  </si>
  <si>
    <t>Thuế TNDN đã nộp</t>
  </si>
  <si>
    <t>15</t>
  </si>
  <si>
    <t>LC thuần từ HĐKD (CFO)</t>
  </si>
  <si>
    <t>II. LƯU CHUYỂN TỪ HOẠT ĐỘNG ĐẦU TƯ</t>
  </si>
  <si>
    <t>Chi mua sắm TSCĐ (Capex)</t>
  </si>
  <si>
    <t>21</t>
  </si>
  <si>
    <t>Thu từ thanh lý TSCĐ</t>
  </si>
  <si>
    <t>22</t>
  </si>
  <si>
    <t>LC thuần từ HĐ ĐT (CFI)</t>
  </si>
  <si>
    <t>III. LƯU CHUYỂN TỪ HOẠT ĐỘNG TÀI CHÍNH</t>
  </si>
  <si>
    <t>Thu từ phát hành cổ phiếu/góp vốn</t>
  </si>
  <si>
    <t>31</t>
  </si>
  <si>
    <t>Thu từ đi vay</t>
  </si>
  <si>
    <t>33</t>
  </si>
  <si>
    <t>Trả nợ gốc vay</t>
  </si>
  <si>
    <t>34</t>
  </si>
  <si>
    <t>Cổ tức đã trả</t>
  </si>
  <si>
    <t>36</t>
  </si>
  <si>
    <t>LC thuần từ HĐ TC (CFF)</t>
  </si>
  <si>
    <t>40</t>
  </si>
  <si>
    <t>LC thuần trong kỳ (CFO+CFI+CFF)</t>
  </si>
  <si>
    <t>Tiền đầu kỳ</t>
  </si>
  <si>
    <t>Tiền cuối kỳ (= dòng 8)</t>
  </si>
  <si>
    <t>70</t>
  </si>
  <si>
    <t>Check</t>
  </si>
  <si>
    <t>MS 100 = 110+120+130+140+150</t>
  </si>
  <si>
    <t>MS 130 = 131 + 132 + other receivables - 139</t>
  </si>
  <si>
    <t>MS 140 = inventory components - 159</t>
  </si>
  <si>
    <t>MS 220 = gross fixed assets - accumulated depreciation</t>
  </si>
  <si>
    <t>MS 200 = 220+(210_240)+250+260</t>
  </si>
  <si>
    <t>MS 270 = 100 + 200</t>
  </si>
  <si>
    <t>MS 310 = total current liabilities</t>
  </si>
  <si>
    <t>MS 300 = 310 + 330</t>
  </si>
  <si>
    <t>MS 400 = equity components + non-controlling interests</t>
  </si>
  <si>
    <t>MS 440 = 300 + 400</t>
  </si>
  <si>
    <t>Total assets - total liabilities and equity</t>
  </si>
  <si>
    <t>MS 10 = 511 - 521</t>
  </si>
  <si>
    <t>MS 20 = 10 - 632</t>
  </si>
  <si>
    <t>MS 30 = 20+515-635-24-641-642</t>
  </si>
  <si>
    <t>MS 50 = 30+711-811</t>
  </si>
  <si>
    <t>MS 60 = MS 50 - corporate income tax</t>
  </si>
  <si>
    <t>CFF (40) = 31+33+34+36</t>
  </si>
  <si>
    <t>Net cash flow (MS 50) = CFO + CFI + CFF</t>
  </si>
  <si>
    <t>02 — ASSUMPTIONS &amp; DRIVERS</t>
  </si>
  <si>
    <t>Driver</t>
  </si>
  <si>
    <t>Base</t>
  </si>
  <si>
    <t>Low</t>
  </si>
  <si>
    <t>High</t>
  </si>
  <si>
    <t>Note</t>
  </si>
  <si>
    <t>A. RECEIVABLES AGEING - BUCKET THRESHOLDS (days)</t>
  </si>
  <si>
    <t>Bucket 1 (current) - upper limit</t>
  </si>
  <si>
    <t>0-30 days</t>
  </si>
  <si>
    <t>Bucket 2 - upper limit</t>
  </si>
  <si>
    <t>31-60 days</t>
  </si>
  <si>
    <t>Bucket 3 - upper limit</t>
  </si>
  <si>
    <t>61-90 days</t>
  </si>
  <si>
    <t>Bucket 4 - upper limit</t>
  </si>
  <si>
    <t>91-180 days</t>
  </si>
  <si>
    <t>Bucket 5 (Long overdue)</t>
  </si>
  <si>
    <t>Over 180 days - red flag</t>
  </si>
  <si>
    <t>Provisioning threshold (%)</t>
  </si>
  <si>
    <t>Example: 0.5% for 61-90 days, per Circular 48/2019/TT-BTC</t>
  </si>
  <si>
    <t>B. CCC SENSITIVITY (change in days to VND released)</t>
  </si>
  <si>
    <t>∆CCC scenario 1 (days)</t>
  </si>
  <si>
    <t>Modest improvement</t>
  </si>
  <si>
    <t>∆CCC scenario 2 (days)</t>
  </si>
  <si>
    <t>Moderate improvement</t>
  </si>
  <si>
    <t>∆CCC scenario 3 (days)</t>
  </si>
  <si>
    <t>Strong improvement - best case</t>
  </si>
  <si>
    <t>∆CCC scenario 4 (days)</t>
  </si>
  <si>
    <t>Deterioration - worst case</t>
  </si>
  <si>
    <t>C. CASH FORECAST — DRIVERS</t>
  </si>
  <si>
    <t>Minimum closing cash threshold (VND)</t>
  </si>
  <si>
    <t>Below this threshold - red flag</t>
  </si>
  <si>
    <t>Contractual DSO, Honda (days)</t>
  </si>
  <si>
    <t>Contract terms - to be confirmed with sales</t>
  </si>
  <si>
    <t>Contractual DSO, Samsung (days)</t>
  </si>
  <si>
    <t>Contractual DSO, other customers (days)</t>
  </si>
  <si>
    <t>Contractual DPO, domestic suppliers</t>
  </si>
  <si>
    <t>Contractual DPO, import suppliers</t>
  </si>
  <si>
    <t>Letter of credit or telegraphic transfer</t>
  </si>
  <si>
    <t>Collection rate, week 1 after invoice (%)</t>
  </si>
  <si>
    <t>Empirical, from observed collection pattern</t>
  </si>
  <si>
    <t>Collection rate, weeks 4-8 (%)</t>
  </si>
  <si>
    <t>Collection rate, weeks 8-13 (%)</t>
  </si>
  <si>
    <t>% bad debt / uncollectible</t>
  </si>
  <si>
    <t>Payroll cycle (day of month)</t>
  </si>
  <si>
    <t>Regular payroll date</t>
  </si>
  <si>
    <t>Tax payment cycle</t>
  </si>
  <si>
    <t>VAT and personal income tax remittance - 20th of the following month</t>
  </si>
  <si>
    <t>D. INVENTORY ABC - PARETO THRESHOLDS</t>
  </si>
  <si>
    <t>Class A - cumulative value ceiling (%)</t>
  </si>
  <si>
    <t>Approximately 80% of value</t>
  </si>
  <si>
    <t>Class B - cumulative value ceiling (%)</t>
  </si>
  <si>
    <t>80-95% of value</t>
  </si>
  <si>
    <t>Class C - remainder (automatic)</t>
  </si>
  <si>
    <t>&gt;95%</t>
  </si>
  <si>
    <t>Cycle count frequency, class A (days)</t>
  </si>
  <si>
    <t>Weekly</t>
  </si>
  <si>
    <t>Cycle count frequency, class B (days)</t>
  </si>
  <si>
    <t>Monthly</t>
  </si>
  <si>
    <t>Cycle count frequency, class C (days)</t>
  </si>
  <si>
    <t>Quarterly</t>
  </si>
  <si>
    <t>E. GENERAL</t>
  </si>
  <si>
    <t>Days per year</t>
  </si>
  <si>
    <t>Finance convention: 365. Vietnamese practice often uses 360.</t>
  </si>
  <si>
    <t>Dashboard display unit</t>
  </si>
  <si>
    <t>VND billion</t>
  </si>
  <si>
    <t>'VND billion' or 'VND million'</t>
  </si>
  <si>
    <t>F. TAX &amp; COST OF CAPITAL</t>
  </si>
  <si>
    <t>Tax rate for NOPAT (ROIC)</t>
  </si>
  <si>
    <t>Vietnamese statutory CIT rate. Compare with the effective rate below.</t>
  </si>
  <si>
    <t>03 — FS RESTATED (Balance Sheet + IS + Common-Size)</t>
  </si>
  <si>
    <t>Line item</t>
  </si>
  <si>
    <t>%FY23</t>
  </si>
  <si>
    <t>%FY24</t>
  </si>
  <si>
    <t>%FY25</t>
  </si>
  <si>
    <t>A. BALANCE SHEET - analytical format</t>
  </si>
  <si>
    <t>Cash and equivalents</t>
  </si>
  <si>
    <t>Short-term investments</t>
  </si>
  <si>
    <t>Accounts Receivable (AR)</t>
  </si>
  <si>
    <t>Inventory — Raw Material (NVL)</t>
  </si>
  <si>
    <t>Inventory — Work in Progress (WIP)</t>
  </si>
  <si>
    <t>Inventory — Finished Goods (FG)</t>
  </si>
  <si>
    <t>Inventory — Total</t>
  </si>
  <si>
    <t>Other current assets</t>
  </si>
  <si>
    <t>TOTAL CURRENT ASSETS</t>
  </si>
  <si>
    <t>Fixed Assets — Net</t>
  </si>
  <si>
    <t>Other non-current assets (LT receivables, CIP, LT investments, other)</t>
  </si>
  <si>
    <t>TOTAL ASSETS</t>
  </si>
  <si>
    <t>Accounts Payable (AP)</t>
  </si>
  <si>
    <t>Short-term debt</t>
  </si>
  <si>
    <t>Other current liabilities</t>
  </si>
  <si>
    <t>TOTAL CURRENT LIABILITIES</t>
  </si>
  <si>
    <t>Long-term debt</t>
  </si>
  <si>
    <t>TOTAL LIABILITIES</t>
  </si>
  <si>
    <t>TOTAL EQUITY</t>
  </si>
  <si>
    <t>CHECK: L+E vs TA</t>
  </si>
  <si>
    <t>CHECK: CA + FA + Other NCA vs TOTAL ASSETS</t>
  </si>
  <si>
    <t>B. INCOME STATEMENT - analytical format</t>
  </si>
  <si>
    <t>Revenue (net)</t>
  </si>
  <si>
    <t>COGS</t>
  </si>
  <si>
    <t>Gross Profit</t>
  </si>
  <si>
    <t>Selling expense</t>
  </si>
  <si>
    <t>G&amp;A expense</t>
  </si>
  <si>
    <t>Financial income</t>
  </si>
  <si>
    <t>Financial expense</t>
  </si>
  <si>
    <t xml:space="preserve">  o/w Interest expense</t>
  </si>
  <si>
    <t>Operating Profit</t>
  </si>
  <si>
    <t>EBT</t>
  </si>
  <si>
    <t>Tax expense</t>
  </si>
  <si>
    <t>Net Income</t>
  </si>
  <si>
    <t>D&amp;A</t>
  </si>
  <si>
    <t>EBITDA</t>
  </si>
  <si>
    <t>C. WORKING CAPITAL SUMMARY</t>
  </si>
  <si>
    <t>Net Working Capital = CA − CL</t>
  </si>
  <si>
    <t>Operating NWC = AR + Inv − AP</t>
  </si>
  <si>
    <t>D. MEMO LINES (capital expenditure story)</t>
  </si>
  <si>
    <t>Memo: Long-term investments (MS 250)</t>
  </si>
  <si>
    <t>Memo: LT receivables + construction in progress (MS 210/240)</t>
  </si>
  <si>
    <t>Memo: Advances from customers (MS 313)</t>
  </si>
  <si>
    <t>Memo: Gross fixed assets (MS 211)</t>
  </si>
  <si>
    <t>04 — FINANCIAL RATIOS + DUPONT</t>
  </si>
  <si>
    <t>All ratios are linked automatically from 03_FS_Restated. Do not overwrite.</t>
  </si>
  <si>
    <t>Ratio</t>
  </si>
  <si>
    <t>Interpretation / Benchmark</t>
  </si>
  <si>
    <t>A. LIQUIDITY</t>
  </si>
  <si>
    <t>Current Ratio</t>
  </si>
  <si>
    <t>Above 1.5 is healthy</t>
  </si>
  <si>
    <t>Quick Ratio</t>
  </si>
  <si>
    <t>Above 1.0 is healthy (excludes inventory)</t>
  </si>
  <si>
    <t>Cash Ratio</t>
  </si>
  <si>
    <t>Measures immediate liquidity</t>
  </si>
  <si>
    <t>NWC / Revenue</t>
  </si>
  <si>
    <t>WC intensity</t>
  </si>
  <si>
    <t>B. PROFITABILITY</t>
  </si>
  <si>
    <t>Gross Margin</t>
  </si>
  <si>
    <t>Vietnamese manufacturing benchmark: approximately 10-20%</t>
  </si>
  <si>
    <t>Operating Margin (EBIT margin)</t>
  </si>
  <si>
    <t>EBITDA Margin</t>
  </si>
  <si>
    <t>Net Margin</t>
  </si>
  <si>
    <t>ROA</t>
  </si>
  <si>
    <t>ROE</t>
  </si>
  <si>
    <t>ROIC</t>
  </si>
  <si>
    <t>NOPAT / (Debt + Equity). Tax rate is a driver on 02_Assumptions, not hardcoded.</t>
  </si>
  <si>
    <t>C. EFFICIENCY (Turnover)</t>
  </si>
  <si>
    <t>Asset Turnover</t>
  </si>
  <si>
    <t>Fixed Asset Turnover</t>
  </si>
  <si>
    <t>Inventory Turnover</t>
  </si>
  <si>
    <t>Receivables Turnover</t>
  </si>
  <si>
    <t>Payables Turnover</t>
  </si>
  <si>
    <t>D. LEVERAGE / SOLVENCY</t>
  </si>
  <si>
    <t>Debt / Assets</t>
  </si>
  <si>
    <t>Debt / Equity</t>
  </si>
  <si>
    <t>Equity Multiplier</t>
  </si>
  <si>
    <t>Interest Coverage</t>
  </si>
  <si>
    <t>E. DUPONT DECOMPOSITION</t>
  </si>
  <si>
    <t>ROE = Net Margin × Asset Turnover × Equity Multiplier</t>
  </si>
  <si>
    <t>(1) Net Margin</t>
  </si>
  <si>
    <t>(2) Asset Turnover</t>
  </si>
  <si>
    <t>(3) Equity Multiplier</t>
  </si>
  <si>
    <t>ROE (product)</t>
  </si>
  <si>
    <t>ROE (direct check)</t>
  </si>
  <si>
    <t>F. COST OF DEBT &amp; TAX</t>
  </si>
  <si>
    <t>Metric</t>
  </si>
  <si>
    <t>Gross debt (ST + LT)</t>
  </si>
  <si>
    <t>Average gross debt</t>
  </si>
  <si>
    <t>Implied cost of debt</t>
  </si>
  <si>
    <t>Effective tax rate</t>
  </si>
  <si>
    <t>05 — CASH CONVERSION CYCLE (CCC)</t>
  </si>
  <si>
    <t>A. INPUT - average balances (from 03_FS_Restated)</t>
  </si>
  <si>
    <t>Days in period</t>
  </si>
  <si>
    <t>Trade receivables - average</t>
  </si>
  <si>
    <t>Inventory, raw materials - average</t>
  </si>
  <si>
    <t>Inventory, work in progress - average</t>
  </si>
  <si>
    <t>Inventory, finished goods - average</t>
  </si>
  <si>
    <t>Inventory, total - average</t>
  </si>
  <si>
    <t>Trade payables - average</t>
  </si>
  <si>
    <t>B. CCC DECOMPOSITION</t>
  </si>
  <si>
    <t>DSO — Days Sales Outstanding</t>
  </si>
  <si>
    <t>DIO — NVL</t>
  </si>
  <si>
    <t>DIO — WIP</t>
  </si>
  <si>
    <t>DIO — FG</t>
  </si>
  <si>
    <t>DIO — Total</t>
  </si>
  <si>
    <t>DPO — Days Payable Outstanding</t>
  </si>
  <si>
    <t>CCC = DSO + DIO(Total) − DPO</t>
  </si>
  <si>
    <t>C. CONVERSION TO VND - capital tied up and sensitivity</t>
  </si>
  <si>
    <t>One day of CCC in VND = Revenue / 365</t>
  </si>
  <si>
    <t>Working capital tied up = CCC x VND/day</t>
  </si>
  <si>
    <t>D. SENSITIVITY: change in CCC to VND (latest financial year)</t>
  </si>
  <si>
    <t>Change in CCC (days)</t>
  </si>
  <si>
    <t>VND released (+) / additional capital tied up (-)</t>
  </si>
  <si>
    <t>-15 days (best case)</t>
  </si>
  <si>
    <t>Aggressive</t>
  </si>
  <si>
    <t>-10 days</t>
  </si>
  <si>
    <t>Moderate</t>
  </si>
  <si>
    <t>-5 days</t>
  </si>
  <si>
    <t>Modest</t>
  </si>
  <si>
    <t>0 (base)</t>
  </si>
  <si>
    <t>Current position</t>
  </si>
  <si>
    <t>+5 days (worst case)</t>
  </si>
  <si>
    <t>Deterioration</t>
  </si>
  <si>
    <t>E. FY2022 OPENING BALANCES (for average-balance computation of FY2023)</t>
  </si>
  <si>
    <t>Balance at 31/12/2022</t>
  </si>
  <si>
    <t>VND</t>
  </si>
  <si>
    <t>Trade receivables (TK 131) - FY2022</t>
  </si>
  <si>
    <t>Inventory total (MS 140) - FY2022</t>
  </si>
  <si>
    <t>Trade payables (TK 311) - FY2022</t>
  </si>
  <si>
    <t>F. DPO CROSS-CHECK ON A PURCHASES BASIS</t>
  </si>
  <si>
    <t>Purchases = COGS + change in inventory</t>
  </si>
  <si>
    <t>DPO (purchases basis)</t>
  </si>
  <si>
    <t>06 - PEER INPUTS (as reported, own currency)</t>
  </si>
  <si>
    <t>A. PEER SET DEFINITION</t>
  </si>
  <si>
    <t>Company</t>
  </si>
  <si>
    <t>Listing</t>
  </si>
  <si>
    <t>Currency / units</t>
  </si>
  <si>
    <t>FY end</t>
  </si>
  <si>
    <t>Standard</t>
  </si>
  <si>
    <t>Role in the analysis</t>
  </si>
  <si>
    <t>Nhua Ha Noi</t>
  </si>
  <si>
    <t>HNX: NHH</t>
  </si>
  <si>
    <t>VND / dong</t>
  </si>
  <si>
    <t>31/12</t>
  </si>
  <si>
    <t>VAS (Circular 200)</t>
  </si>
  <si>
    <t>SUBJECT</t>
  </si>
  <si>
    <t>SKP Resources Bhd</t>
  </si>
  <si>
    <t>Bursa: SKP</t>
  </si>
  <si>
    <t>MYR / RM'000</t>
  </si>
  <si>
    <t>31/03</t>
  </si>
  <si>
    <t>MFRS (IFRS-aligned)</t>
  </si>
  <si>
    <t>OEM structural peer - Dyson c.70% of revenue</t>
  </si>
  <si>
    <t>Sanko Gosei Ltd</t>
  </si>
  <si>
    <t>TSE: 7888</t>
  </si>
  <si>
    <t>JPY / JPY mn</t>
  </si>
  <si>
    <t>31/05</t>
  </si>
  <si>
    <t>JGAAP</t>
  </si>
  <si>
    <t>OEM structural peer - moulding + mould dies, no &gt;10% customer</t>
  </si>
  <si>
    <t>Nolato AB</t>
  </si>
  <si>
    <t>STO: NOLA-B</t>
  </si>
  <si>
    <t>SEK / SEK mn</t>
  </si>
  <si>
    <t>IFRS</t>
  </si>
  <si>
    <t>Global polymer contract manufacturer - best-practice benchmark</t>
  </si>
  <si>
    <t>Nhua Tien Phong</t>
  </si>
  <si>
    <t>HNX: NTP</t>
  </si>
  <si>
    <t>Domestic control - distribution model</t>
  </si>
  <si>
    <t>An Phat Bioplastics</t>
  </si>
  <si>
    <t>HOSE: AAA</t>
  </si>
  <si>
    <t>RELATED PARTY - excluded from medians</t>
  </si>
  <si>
    <t>AAA is excluded from all peer medians: AAA raised its holding in NHH from 47.44% to 62.75% on 26/09/2024 and now consolidates NHH as a subsidiary. Comparing NHH with AAA from FY2025 compares NHH with a group that contains NHH.</t>
  </si>
  <si>
    <t>Fiscal years are not aligned. SKP closes 31/03 and Sanko closes 31/05, so their FY2025 columns overlap mainly with calendar 2024. Comparisons are made on a fiscal-year-as-reported basis; this is a stated limitation, not an adjustment.</t>
  </si>
  <si>
    <t>B.1  Nhua Ha Noi  (dong)</t>
  </si>
  <si>
    <t>FY2022</t>
  </si>
  <si>
    <t>Source note</t>
  </si>
  <si>
    <t>Trade receivables (net)</t>
  </si>
  <si>
    <t>Inventory (net)</t>
  </si>
  <si>
    <t>Trade payables</t>
  </si>
  <si>
    <t>Cost of goods sold</t>
  </si>
  <si>
    <t>Total equity</t>
  </si>
  <si>
    <t>Net income</t>
  </si>
  <si>
    <t>Interest expense</t>
  </si>
  <si>
    <t>Trade receivables = TK 131 only. Inventory = MS 140, net of provision TK 159. Trade payables = TK 311.</t>
  </si>
  <si>
    <t>B.2  SKP Resources Bhd  (RM'000)</t>
  </si>
  <si>
    <t>Trade payables are reported as "Trade and other payables" and cannot be split. DPO for SKP is therefore an UPPER BOUND.</t>
  </si>
  <si>
    <t>B.3  Sanko Gosei Ltd  (JPY mn)</t>
  </si>
  <si>
    <t xml:space="preserve">   o/w raw materials</t>
  </si>
  <si>
    <t xml:space="preserve">   o/w work in progress</t>
  </si>
  <si>
    <t xml:space="preserve">   o/w finished goods</t>
  </si>
  <si>
    <t>Trade receivables = notes receivable + electronically recorded monetary claims + accounts receivable. Trade payables = notes and accounts payable - trade + electronically recorded obligations. Omitting the electronic lines would understate both.</t>
  </si>
  <si>
    <t>B.4  Nolato AB  (SEK mn)</t>
  </si>
  <si>
    <t>FY2022 COGS and FY2022-23 interest expense are not disclosed in the segments retrieved; FY2022 P&amp;L is not required because only balance-sheet FY2022 feeds the averages.</t>
  </si>
  <si>
    <t>B.5  Nhua Tien Phong  (dong)</t>
  </si>
  <si>
    <t>Trade receivables = TK 131 gross. Business model is distribution through dealers, not OEM contract manufacturing.</t>
  </si>
  <si>
    <t>B.6  An Phat Bioplastics  (dong)</t>
  </si>
  <si>
    <t>Trade receivables = TK 131 gross. Allowance TK 137 covers all short-term receivables and is not netted.</t>
  </si>
  <si>
    <t>07 - PEER BENCHMARK: CASH CONVERSION CYCLE</t>
  </si>
  <si>
    <t>A. CCC DECOMPOSITION BY COMPANY</t>
  </si>
  <si>
    <t>Company / metric</t>
  </si>
  <si>
    <t>Change FY23-25</t>
  </si>
  <si>
    <t>Comment</t>
  </si>
  <si>
    <t>Nhua Ha Noi  (HNX: NHH)</t>
  </si>
  <si>
    <t>DSO</t>
  </si>
  <si>
    <t>DIO</t>
  </si>
  <si>
    <t>DPO</t>
  </si>
  <si>
    <t>CCC</t>
  </si>
  <si>
    <t>SKP Resources Bhd  (Bursa: SKP)</t>
  </si>
  <si>
    <t>Sanko Gosei Ltd  (TSE: 7888)</t>
  </si>
  <si>
    <t>Nolato AB  (STO: NOLA-B)</t>
  </si>
  <si>
    <t>Nhua Tien Phong  (HNX: NTP)</t>
  </si>
  <si>
    <t>An Phat Bioplastics  (HOSE: AAA)</t>
  </si>
  <si>
    <t>SKP trade payables include non-trade items, so SKP DPO is an upper bound and its CCC is a lower bound. This is disclosed rather than adjusted, because no split is available in any SKP annual report.</t>
  </si>
  <si>
    <t>B. NHH VERSUS THE OEM CONTRACT-MANUFACTURING PEER GROUP (SKP, Sanko)</t>
  </si>
  <si>
    <t>Metric, FY2025</t>
  </si>
  <si>
    <t>NHH</t>
  </si>
  <si>
    <t>SKP</t>
  </si>
  <si>
    <t>Sanko</t>
  </si>
  <si>
    <t>OEM mean</t>
  </si>
  <si>
    <t>Gap NHH vs OEM</t>
  </si>
  <si>
    <t>Reading</t>
  </si>
  <si>
    <t>NHH collects markedly faster than either OEM peer. Receivables are not the constraint.</t>
  </si>
  <si>
    <t>NHH holds less inventory than Nolato but is broadly in line with the OEM peers.</t>
  </si>
  <si>
    <t>NHH pays suppliers far sooner than either OEM peer. This is the single largest structural gap.</t>
  </si>
  <si>
    <t>Headline CCC is close to peers, but the composition is inverted: NHH funds its suppliers instead of being funded by them.</t>
  </si>
  <si>
    <t>C. QUANTIFYING THE PAYABLES GAP (FY2025, VND)</t>
  </si>
  <si>
    <t>Item</t>
  </si>
  <si>
    <t>Value</t>
  </si>
  <si>
    <t>Unit</t>
  </si>
  <si>
    <t>Basis</t>
  </si>
  <si>
    <t>NHH COGS, FY2025</t>
  </si>
  <si>
    <t>Denominator for DPO</t>
  </si>
  <si>
    <t>One day of DPO</t>
  </si>
  <si>
    <t>COGS / 365</t>
  </si>
  <si>
    <t>NHH DPO, FY2025</t>
  </si>
  <si>
    <t>days</t>
  </si>
  <si>
    <t>From section A</t>
  </si>
  <si>
    <t>OEM mean DPO, FY2025</t>
  </si>
  <si>
    <t>Mean of SKP and Sanko</t>
  </si>
  <si>
    <t>Payables gap</t>
  </si>
  <si>
    <t>Peer mean less NHH</t>
  </si>
  <si>
    <t>Cash that would be released if NHH closed the gap</t>
  </si>
  <si>
    <t>Gap in days x one day of DPO</t>
  </si>
  <si>
    <t>NHH interest expense, FY2025</t>
  </si>
  <si>
    <t>Reported finance cost</t>
  </si>
  <si>
    <t>p.a.</t>
  </si>
  <si>
    <t>Linked from 04_Ratios: interest expense / average gross debt</t>
  </si>
  <si>
    <t>Annual interest saved on released cash</t>
  </si>
  <si>
    <t>Released cash x cost of debt</t>
  </si>
  <si>
    <t>The gap is an indication of headroom, not a target. Part of it is structural: Japanese suppliers settle a large share of payables by note, and Malaysian reported payables include non-trade items. A realistic NHH objective would capture a portion of the gap, not all of it.</t>
  </si>
  <si>
    <t>D. CONTEXT RATIOS, FY2025</t>
  </si>
  <si>
    <t>Gross margin</t>
  </si>
  <si>
    <t>Net margin</t>
  </si>
  <si>
    <t>Interest / revenue</t>
  </si>
  <si>
    <t>Related party - shown for completeness only</t>
  </si>
  <si>
    <t>EXECUTIVE DASHBOARD - NHH WORKING CAPITAL</t>
  </si>
  <si>
    <t>Cash Conversion Cycle diagnostic, FY2023-FY2025, benchmarked against listed plastics contract manufacturers.</t>
  </si>
  <si>
    <t>A. HEADLINE, FY2025</t>
  </si>
  <si>
    <t>CASH CONVERSION CYCLE (days)</t>
  </si>
  <si>
    <t>CCC IMPROVEMENT FY2023-25 (days)</t>
  </si>
  <si>
    <t>PAYABLES GAP VS OEM PEERS (days)</t>
  </si>
  <si>
    <t>FY2023: see trend below</t>
  </si>
  <si>
    <t>Negative = cash released</t>
  </si>
  <si>
    <t>Negative = NHH pays sooner than peers</t>
  </si>
  <si>
    <t>WORKING CAPITAL TIED UP (VND)</t>
  </si>
  <si>
    <t>ONE DAY OF CCC (VND)</t>
  </si>
  <si>
    <t>CASH IF PAYABLES GAP CLOSED (VND)</t>
  </si>
  <si>
    <t>CCC x revenue per day</t>
  </si>
  <si>
    <t>Cash released per day of CCC</t>
  </si>
  <si>
    <t>Indicative headroom, not a target</t>
  </si>
  <si>
    <t>B. CCC TREND - NHH</t>
  </si>
  <si>
    <t>FY23-25</t>
  </si>
  <si>
    <t>DIO - total</t>
  </si>
  <si>
    <t>C. PEER POSITION, FY2025</t>
  </si>
  <si>
    <t>AAA is omitted from this table: it became the parent of NHH on 26/09/2024 and consolidates NHH from that date. See 06_Peer_Inputs.</t>
  </si>
  <si>
    <t>D. READING THE CHARTS</t>
  </si>
  <si>
    <t>NHH improved its cash conversion cycle by 14.4 days between FY2023 and FY2025, driven mainly by a 19.0 day reduction in inventory days.</t>
  </si>
  <si>
    <t>Headline CCC is now close to the OEM contract-manufacturing peers, but the composition is inverted: NHH collects about 31 days faster than the peer mean and pays about 28 days sooner.</t>
  </si>
  <si>
    <t>Nolato carries the highest CCC of the contract manufacturers at 82.6 days. A high cycle is not automatically poor management: its medical and pharmaceutical work requires deeper inventory and earns a wider margin.</t>
  </si>
  <si>
    <t>NTP sits far outside the group at 93.3 days with 95.8 inventory days, which is the signature of a distribution model holding stock for a dealer network rather than manufacturing to customer order.</t>
  </si>
  <si>
    <t>10 — REFERENCE: GLOSSARY, TK CODES, ASSUMPTIONS LOG</t>
  </si>
  <si>
    <t>A. GLOSSARY EN — VN — DEFINITION</t>
  </si>
  <si>
    <t>English</t>
  </si>
  <si>
    <t>Vietnamese</t>
  </si>
  <si>
    <t>Formula</t>
  </si>
  <si>
    <t>Notes</t>
  </si>
  <si>
    <t>CCC — Cash Conversion Cycle</t>
  </si>
  <si>
    <t>Cash conversion cycle</t>
  </si>
  <si>
    <t>DIO + DSO − DPO</t>
  </si>
  <si>
    <t>Measures the number of days cash is tied up in the operating cycle</t>
  </si>
  <si>
    <t>DIO — Days Inventory Outstanding</t>
  </si>
  <si>
    <t>Days inventory outstanding</t>
  </si>
  <si>
    <t>Avg Inventory / COGS × 365</t>
  </si>
  <si>
    <t>For a contract manufacturer, split into raw materials, work in progress and finished goods</t>
  </si>
  <si>
    <t>Days sales outstanding</t>
  </si>
  <si>
    <t>Avg AR / Revenue × 365</t>
  </si>
  <si>
    <t>Compare with the customer contractual payment terms</t>
  </si>
  <si>
    <t>Days payable outstanding</t>
  </si>
  <si>
    <t>Avg AP / COGS × 365</t>
  </si>
  <si>
    <t>The higher the figure, the more supplier financing is being used</t>
  </si>
  <si>
    <t>NWC — Net Working Capital</t>
  </si>
  <si>
    <t>Net working capital</t>
  </si>
  <si>
    <t>Current Assets − Current Liab</t>
  </si>
  <si>
    <t>Operating NWC</t>
  </si>
  <si>
    <t>Operating working capital</t>
  </si>
  <si>
    <t>AR + Inventory − AP</t>
  </si>
  <si>
    <t>Excludes cash and debt</t>
  </si>
  <si>
    <t>COGS — Cost of Goods Sold</t>
  </si>
  <si>
    <t>TK 632</t>
  </si>
  <si>
    <t>Earnings before interest, tax, depreciation and amortisation</t>
  </si>
  <si>
    <t>Operating profit + D&amp;A</t>
  </si>
  <si>
    <t>ROIC — Return on Invested Capital</t>
  </si>
  <si>
    <t>Return on invested capital</t>
  </si>
  <si>
    <t>NOPAT / (Debt + Equity)</t>
  </si>
  <si>
    <t>Measures the return on all invested capital</t>
  </si>
  <si>
    <t>DuPont Analysis</t>
  </si>
  <si>
    <t>DuPont decomposition</t>
  </si>
  <si>
    <t>ROE = NM × AT × EM</t>
  </si>
  <si>
    <t>Net Margin × Asset Turnover × Equity Multiplier</t>
  </si>
  <si>
    <t>Pareto / ABC Analysis</t>
  </si>
  <si>
    <t>ABC classification on a Pareto basis</t>
  </si>
  <si>
    <t>80/15/5 rule</t>
  </si>
  <si>
    <t>A is approximately 80% of value, B 15%, C 5%</t>
  </si>
  <si>
    <t>AR Aging</t>
  </si>
  <si>
    <t>Receivables ageing analysis</t>
  </si>
  <si>
    <t>Buckets by days past due</t>
  </si>
  <si>
    <t>0-30/31-60/61-90/91-180/&gt;180</t>
  </si>
  <si>
    <t>Rolling 13-week Forecast</t>
  </si>
  <si>
    <t>Rolling 13-week cash flow forecast</t>
  </si>
  <si>
    <t>Direct method</t>
  </si>
  <si>
    <t>Ref: Clauss Ch.8</t>
  </si>
  <si>
    <t>B. VAS / CIRCULAR 200 - KEY ACCOUNT CODES</t>
  </si>
  <si>
    <t>Account code</t>
  </si>
  <si>
    <t>Account name (Vietnamese, per Circular 200)</t>
  </si>
  <si>
    <t>Class</t>
  </si>
  <si>
    <t>Use in this project</t>
  </si>
  <si>
    <t>Tiền mặt</t>
  </si>
  <si>
    <t>Current assets</t>
  </si>
  <si>
    <t>Cash forecast, Cash ratio</t>
  </si>
  <si>
    <t>Tiền gửi ngân hàng</t>
  </si>
  <si>
    <t>Cash forecast base pattern</t>
  </si>
  <si>
    <t>Phải thu khách hàng</t>
  </si>
  <si>
    <t>AR Aging, DSO</t>
  </si>
  <si>
    <t>133</t>
  </si>
  <si>
    <t>Thuế GTGT được khấu trừ</t>
  </si>
  <si>
    <t>Dự phòng phải thu khó đòi</t>
  </si>
  <si>
    <t>Current assets (contra)</t>
  </si>
  <si>
    <t>Adjustment cho AR</t>
  </si>
  <si>
    <t>Nguyên vật liệu (NVL)</t>
  </si>
  <si>
    <t>Inventory</t>
  </si>
  <si>
    <t>DIO NVL, ABC classification</t>
  </si>
  <si>
    <t>Công cụ dụng cụ</t>
  </si>
  <si>
    <t>Chi phí SXKD dở dang (WIP)</t>
  </si>
  <si>
    <t>DIO WIP — key cho job-order</t>
  </si>
  <si>
    <t>Thành phẩm (FG)</t>
  </si>
  <si>
    <t>DIO FG</t>
  </si>
  <si>
    <t>Hàng hóa</t>
  </si>
  <si>
    <t>Dự phòng giảm giá tồn kho</t>
  </si>
  <si>
    <t>Inventory (contra)</t>
  </si>
  <si>
    <t>Nguyên giá TSCĐ hữu hình</t>
  </si>
  <si>
    <t>Fixed assets</t>
  </si>
  <si>
    <t>Hao mòn luỹ kế TSCĐ</t>
  </si>
  <si>
    <t>Fixed assets (contra)</t>
  </si>
  <si>
    <t>D&amp;A source</t>
  </si>
  <si>
    <t>Phải trả người bán</t>
  </si>
  <si>
    <t>Current liabilities</t>
  </si>
  <si>
    <t>DPO, Cash forecast supplier</t>
  </si>
  <si>
    <t>Thuế và các khoản phải nộp NN</t>
  </si>
  <si>
    <t>Cash forecast tax outflow</t>
  </si>
  <si>
    <t>Phải trả người lao động</t>
  </si>
  <si>
    <t>Cash forecast payroll outflow</t>
  </si>
  <si>
    <t>341</t>
  </si>
  <si>
    <t>Vay và nợ thuê tài chính</t>
  </si>
  <si>
    <t>Liabilities</t>
  </si>
  <si>
    <t>Debt / Equity, Interest coverage</t>
  </si>
  <si>
    <t>Vốn góp của chủ sở hữu</t>
  </si>
  <si>
    <t>Equity</t>
  </si>
  <si>
    <t>Lợi nhuận sau thuế chưa PP</t>
  </si>
  <si>
    <t>P&amp;L</t>
  </si>
  <si>
    <t>Revenue</t>
  </si>
  <si>
    <t>DIO, DPO, GP margin</t>
  </si>
  <si>
    <t>Chi phí thuế TNDN</t>
  </si>
  <si>
    <t>C. ASSUMPTIONS LOG - record of driver changes</t>
  </si>
  <si>
    <t>Date</t>
  </si>
  <si>
    <t>Driver changed</t>
  </si>
  <si>
    <t>From - To</t>
  </si>
  <si>
    <t>Reason</t>
  </si>
  <si>
    <t>D. METHODOLOGY NOTES - PEER BENCHMARK</t>
  </si>
  <si>
    <t>Basis. All ratios use average balances: (opening + closing) / 2. DSO is measured on revenue; DIO and DPO on cost of goods sold. 365 days per year.</t>
  </si>
  <si>
    <t>Currency. Figures are kept in each company reporting currency. CCC is expressed in days and is currency-neutral, so no FX translation is applied and no FX error is introduced.</t>
  </si>
  <si>
    <t>Fiscal-year alignment. NHH, AAA, NTP and Nolato close 31 December; SKP closes 31 March; Sanko closes 31 May. Comparisons are made on a fiscal-year-as-reported basis. Sanko and SKP FY2025 therefore overlap mainly with calendar 2024.</t>
  </si>
  <si>
    <t>Accounting standards. VAS (Circular 200/2014/TT-BTC) for the Vietnamese companies, MFRS for SKP, JGAAP for Sanko, IFRS for Nolato. Differences at the level of trade receivables, inventory and trade payables are immaterial to the cash conversion cycle.</t>
  </si>
  <si>
    <t>Japanese receivables and payables. Sanko discloses notes receivable and electronically recorded monetary claims separately from accounts receivable, and the mirror items on the payables side. All components are included; excluding them would understate both DSO and DPO by a wide margin.</t>
  </si>
  <si>
    <t>SKP payables. SKP reports trade and other payables as a single line in every annual report. Its DPO is therefore an upper bound and its CCC a lower bound. The limitation is disclosed rather than estimated away.</t>
  </si>
  <si>
    <t>Related-party exclusion. AAA increased its holding in NHH from 47.44% to 62.75% on 26 September 2024 and consolidates NHH from that date. AAA is retained in the input sheet for completeness but excluded from every peer average.</t>
  </si>
  <si>
    <t>Peer group construction. SKP and Sanko form the OEM contract-manufacturing comparator set: both manufacture plastic components to customer specification, and Sanko also operates a mould-die business, matching the NHH product mix. Nolato is a global best-practice reference. NTP is a domestic control that isolates the effect of the Vietnamese operating environment from the effect of the business model.</t>
  </si>
  <si>
    <t>Unit: VND
TK = VAS account code (Circular 200/2014/TT-BTC)</t>
  </si>
  <si>
    <t>D. INTERNAL CONSISTENCY CHECKS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</si>
</sst>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Red]\(#,##0\)_-;_-* \-_-;_-@_-"/>
    <numFmt numFmtId="165" formatCode="#,##0;[Red]\(#,##0\);\-"/>
    <numFmt numFmtId="166" formatCode="0.0%;[Red]\(0.0%\);\-"/>
    <numFmt numFmtId="167" formatCode="0.0%"/>
    <numFmt numFmtId="168" formatCode="#,##0;\(#,##0\);\-"/>
    <numFmt numFmtId="169" formatCode="0.00\x"/>
    <numFmt numFmtId="170" formatCode="#,##0&quot; d&quot;;[Red]\(#,##0&quot;) d&quot;;\-"/>
    <numFmt numFmtId="171" formatCode="#,##0.0;\(#,##0.0\);\-"/>
    <numFmt numFmtId="174" formatCode="_-* #,##0_-;\(#,##0\)_-;_-* \-_-;_-@_-"/>
  </numFmts>
  <fonts count="59" x14ac:knownFonts="1">
    <font>
      <sz val="11"/>
      <color theme="1"/>
      <name val="Calibri"/>
      <family val="2"/>
      <charset val="1"/>
    </font>
    <font>
      <sz val="11"/>
      <color theme="1"/>
      <name val="Calibri"/>
      <family val="2"/>
      <scheme val="minor"/>
    </font>
    <font>
      <sz val="14"/>
      <color theme="1"/>
      <name val="Calibri"/>
      <family val="2"/>
      <charset val="1"/>
    </font>
    <font>
      <b/>
      <sz val="11"/>
      <color rgb="FF1F4E78"/>
      <name val="Calibri"/>
      <charset val="1"/>
    </font>
    <font>
      <b/>
      <sz val="11"/>
      <color rgb="FFFFFFFF"/>
      <name val="Calibri"/>
      <charset val="1"/>
    </font>
    <font>
      <b/>
      <sz val="10"/>
      <name val="Arial"/>
      <charset val="1"/>
    </font>
    <font>
      <sz val="10"/>
      <name val="Arial"/>
      <charset val="1"/>
    </font>
    <font>
      <sz val="10"/>
      <color rgb="FF000000"/>
      <name val="Calibri"/>
      <charset val="1"/>
    </font>
    <font>
      <b/>
      <sz val="14"/>
      <color rgb="FF1F4E78"/>
      <name val="Calibri"/>
      <charset val="1"/>
    </font>
    <font>
      <i/>
      <sz val="9"/>
      <color rgb="FF595959"/>
      <name val="Calibri"/>
      <charset val="1"/>
    </font>
    <font>
      <b/>
      <sz val="10"/>
      <color rgb="FF000000"/>
      <name val="Calibri"/>
      <charset val="1"/>
    </font>
    <font>
      <sz val="9"/>
      <name val="Arial"/>
      <charset val="1"/>
    </font>
    <font>
      <sz val="10"/>
      <color rgb="FF0000FF"/>
      <name val="Calibri"/>
      <charset val="1"/>
    </font>
    <font>
      <b/>
      <sz val="10"/>
      <color rgb="FF1F4E78"/>
      <name val="Calibri"/>
      <charset val="1"/>
    </font>
    <font>
      <i/>
      <sz val="9"/>
      <color rgb="FF595959"/>
      <name val="Calibri"/>
      <family val="2"/>
      <charset val="1"/>
    </font>
    <font>
      <b/>
      <sz val="11"/>
      <color rgb="FFC55A11"/>
      <name val="Arial"/>
      <charset val="1"/>
    </font>
    <font>
      <sz val="10"/>
      <color rgb="FF0000FF"/>
      <name val="Arial"/>
      <charset val="1"/>
    </font>
    <font>
      <i/>
      <sz val="9"/>
      <color rgb="FF595959"/>
      <name val="Arial"/>
      <charset val="1"/>
    </font>
    <font>
      <sz val="10"/>
      <color rgb="FF008000"/>
      <name val="Calibri"/>
      <charset val="1"/>
    </font>
    <font>
      <b/>
      <sz val="10"/>
      <color rgb="FFFFFFFF"/>
      <name val="Arial"/>
      <charset val="1"/>
    </font>
    <font>
      <b/>
      <sz val="14"/>
      <color rgb="FF1F3864"/>
      <name val="Arial"/>
      <charset val="1"/>
    </font>
    <font>
      <b/>
      <sz val="10"/>
      <color rgb="FF1F3864"/>
      <name val="Arial"/>
      <charset val="1"/>
    </font>
    <font>
      <sz val="10"/>
      <color rgb="FF008000"/>
      <name val="Arial"/>
      <charset val="1"/>
    </font>
    <font>
      <b/>
      <sz val="9"/>
      <color rgb="FF595959"/>
      <name val="Arial"/>
      <charset val="1"/>
    </font>
    <font>
      <b/>
      <sz val="20"/>
      <color rgb="FF1F3864"/>
      <name val="Arial"/>
      <charset val="1"/>
    </font>
    <font>
      <b/>
      <sz val="10"/>
      <color rgb="FF008000"/>
      <name val="Arial"/>
      <charset val="1"/>
    </font>
    <font>
      <i/>
      <sz val="9"/>
      <color rgb="FF595959"/>
      <name val="Calibri"/>
      <family val="2"/>
    </font>
    <font>
      <b/>
      <sz val="14"/>
      <color theme="0"/>
      <name val="Calibri"/>
      <family val="2"/>
      <scheme val="minor"/>
    </font>
    <font>
      <sz val="14"/>
      <color theme="1"/>
      <name val="Calibri"/>
      <family val="2"/>
      <scheme val="minor"/>
    </font>
    <font>
      <i/>
      <sz val="11"/>
      <color rgb="FF595959"/>
      <name val="Calibri"/>
      <family val="2"/>
      <scheme val="minor"/>
    </font>
    <font>
      <b/>
      <sz val="11"/>
      <color rgb="FF1F4E78"/>
      <name val="Calibri"/>
      <family val="2"/>
      <scheme val="minor"/>
    </font>
    <font>
      <b/>
      <sz val="11"/>
      <color rgb="FFFFFFFF"/>
      <name val="Calibri"/>
      <family val="2"/>
      <scheme val="minor"/>
    </font>
    <font>
      <b/>
      <sz val="10"/>
      <name val="Calibri"/>
      <family val="2"/>
      <scheme val="minor"/>
    </font>
    <font>
      <sz val="10"/>
      <name val="Calibri"/>
      <family val="2"/>
      <scheme val="minor"/>
    </font>
    <font>
      <b/>
      <i/>
      <sz val="12"/>
      <name val="Calibri"/>
      <family val="2"/>
      <scheme val="minor"/>
    </font>
    <font>
      <b/>
      <i/>
      <sz val="9"/>
      <name val="Calibri"/>
      <family val="2"/>
    </font>
    <font>
      <b/>
      <sz val="11"/>
      <color rgb="FFC00000"/>
      <name val="Arial"/>
      <family val="2"/>
    </font>
    <font>
      <sz val="10"/>
      <name val="Arial"/>
      <family val="2"/>
    </font>
    <font>
      <sz val="10"/>
      <color rgb="FF0000FF"/>
      <name val="Calibri"/>
      <family val="2"/>
    </font>
    <font>
      <b/>
      <sz val="10"/>
      <color rgb="FF0000FF"/>
      <name val="Calibri"/>
      <family val="2"/>
    </font>
    <font>
      <b/>
      <sz val="11"/>
      <color theme="1"/>
      <name val="Calibri"/>
      <family val="2"/>
      <charset val="1"/>
    </font>
    <font>
      <b/>
      <sz val="10"/>
      <color rgb="FF0000FF"/>
      <name val="Arial"/>
      <family val="2"/>
    </font>
    <font>
      <sz val="10"/>
      <color rgb="FF0000FF"/>
      <name val="Arial"/>
      <family val="2"/>
    </font>
    <font>
      <sz val="10"/>
      <color rgb="FF0000FF"/>
      <name val="Calibri"/>
      <family val="2"/>
      <charset val="1"/>
    </font>
    <font>
      <sz val="10"/>
      <color rgb="FF008000"/>
      <name val="Calibri"/>
      <family val="2"/>
    </font>
    <font>
      <sz val="10"/>
      <color rgb="FF008000"/>
      <name val="Arial"/>
      <family val="2"/>
    </font>
    <font>
      <b/>
      <sz val="11"/>
      <color rgb="FFC55A11"/>
      <name val="Calibri"/>
      <family val="2"/>
      <scheme val="minor"/>
    </font>
    <font>
      <sz val="10"/>
      <color rgb="FF008000"/>
      <name val="Calibri"/>
      <family val="2"/>
      <scheme val="minor"/>
    </font>
    <font>
      <b/>
      <sz val="10"/>
      <color rgb="FFFFFFFF"/>
      <name val="Calibri"/>
      <family val="2"/>
      <scheme val="minor"/>
    </font>
    <font>
      <i/>
      <sz val="9"/>
      <color rgb="FF595959"/>
      <name val="Calibri"/>
      <family val="2"/>
      <scheme val="minor"/>
    </font>
    <font>
      <sz val="9"/>
      <name val="Calibri"/>
      <family val="2"/>
      <scheme val="minor"/>
    </font>
    <font>
      <sz val="10"/>
      <name val="Calibri"/>
      <family val="2"/>
    </font>
    <font>
      <sz val="10"/>
      <color rgb="FF000000"/>
      <name val="Calibri"/>
      <family val="2"/>
    </font>
    <font>
      <b/>
      <sz val="11"/>
      <name val="Arial"/>
      <family val="2"/>
    </font>
    <font>
      <sz val="11"/>
      <name val="Calibri"/>
      <family val="2"/>
      <charset val="1"/>
    </font>
    <font>
      <b/>
      <i/>
      <sz val="9"/>
      <color rgb="FF595959"/>
      <name val="Arial"/>
      <family val="2"/>
    </font>
    <font>
      <b/>
      <i/>
      <sz val="9"/>
      <name val="Arial"/>
      <family val="2"/>
    </font>
    <font>
      <b/>
      <i/>
      <sz val="9"/>
      <name val="Calibri"/>
      <family val="2"/>
      <scheme val="minor"/>
    </font>
    <font>
      <i/>
      <sz val="9"/>
      <name val="Arial"/>
      <family val="2"/>
    </font>
  </fonts>
  <fills count="21">
    <fill>
      <patternFill patternType="none"/>
    </fill>
    <fill>
      <patternFill patternType="gray125"/>
    </fill>
    <fill>
      <patternFill patternType="solid">
        <fgColor rgb="FF203864"/>
        <bgColor rgb="FF1F3864"/>
      </patternFill>
    </fill>
    <fill>
      <patternFill patternType="solid">
        <fgColor rgb="FFD9E1F2"/>
        <bgColor rgb="FFD9D9D9"/>
      </patternFill>
    </fill>
    <fill>
      <patternFill patternType="solid">
        <fgColor rgb="FF1F4E78"/>
        <bgColor rgb="FF1F3864"/>
      </patternFill>
    </fill>
    <fill>
      <patternFill patternType="solid">
        <fgColor rgb="FFBDD7EE"/>
        <bgColor rgb="FFD9D9D9"/>
      </patternFill>
    </fill>
    <fill>
      <patternFill patternType="solid">
        <fgColor rgb="FFFFF2CC"/>
        <bgColor rgb="FFFDF2E9"/>
      </patternFill>
    </fill>
    <fill>
      <patternFill patternType="solid">
        <fgColor rgb="FFEDEDED"/>
        <bgColor rgb="FFEAF1F8"/>
      </patternFill>
    </fill>
    <fill>
      <patternFill patternType="solid">
        <fgColor rgb="FFEAF1F8"/>
        <bgColor rgb="FFEDEDED"/>
      </patternFill>
    </fill>
    <fill>
      <patternFill patternType="solid">
        <fgColor rgb="FF1F3864"/>
        <bgColor rgb="FF203864"/>
      </patternFill>
    </fill>
    <fill>
      <patternFill patternType="solid">
        <fgColor theme="0"/>
        <bgColor rgb="FFD9D9D9"/>
      </patternFill>
    </fill>
    <fill>
      <patternFill patternType="solid">
        <fgColor theme="0"/>
        <bgColor rgb="FF1F3864"/>
      </patternFill>
    </fill>
    <fill>
      <patternFill patternType="solid">
        <fgColor theme="0"/>
        <bgColor rgb="FFFDF2E9"/>
      </patternFill>
    </fill>
    <fill>
      <patternFill patternType="solid">
        <fgColor theme="0"/>
        <bgColor indexed="64"/>
      </patternFill>
    </fill>
    <fill>
      <patternFill patternType="solid">
        <fgColor rgb="FFFFFF00"/>
        <bgColor rgb="FFFFF2CC"/>
      </patternFill>
    </fill>
    <fill>
      <patternFill patternType="solid">
        <fgColor rgb="FFFFFF00"/>
        <bgColor rgb="FFFDF2E9"/>
      </patternFill>
    </fill>
    <fill>
      <patternFill patternType="solid">
        <fgColor theme="0"/>
        <bgColor rgb="FFEAF1F8"/>
      </patternFill>
    </fill>
    <fill>
      <patternFill patternType="solid">
        <fgColor theme="0"/>
        <bgColor rgb="FFE8F5E9"/>
      </patternFill>
    </fill>
    <fill>
      <patternFill patternType="solid">
        <fgColor theme="0"/>
        <bgColor rgb="FFEDEDED"/>
      </patternFill>
    </fill>
    <fill>
      <patternFill patternType="solid">
        <fgColor theme="0"/>
        <bgColor rgb="FFFFF9E6"/>
      </patternFill>
    </fill>
    <fill>
      <patternFill patternType="solid">
        <fgColor theme="9" tint="0.39997558519241921"/>
        <bgColor rgb="FFFFF9E6"/>
      </patternFill>
    </fill>
  </fills>
  <borders count="6">
    <border>
      <left/>
      <right/>
      <top/>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
      <left/>
      <right/>
      <top style="thin">
        <color auto="1"/>
      </top>
      <bottom style="double">
        <color auto="1"/>
      </bottom>
      <diagonal/>
    </border>
    <border>
      <left/>
      <right/>
      <top style="thin">
        <color auto="1"/>
      </top>
      <bottom/>
      <diagonal/>
    </border>
    <border>
      <left/>
      <right/>
      <top style="medium">
        <color rgb="FF1F4E78"/>
      </top>
      <bottom/>
      <diagonal/>
    </border>
  </borders>
  <cellStyleXfs count="1">
    <xf numFmtId="0" fontId="0" fillId="0" borderId="0"/>
  </cellStyleXfs>
  <cellXfs count="147">
    <xf numFmtId="0" fontId="0" fillId="0" borderId="0" xfId="0"/>
    <xf numFmtId="0" fontId="4" fillId="4" borderId="2" xfId="0" applyFont="1" applyFill="1" applyBorder="1" applyAlignment="1">
      <alignment horizontal="center" vertical="center" wrapText="1"/>
    </xf>
    <xf numFmtId="0" fontId="10" fillId="5" borderId="0" xfId="0" applyFont="1" applyFill="1" applyAlignment="1">
      <alignment horizontal="left" vertical="center" wrapText="1"/>
    </xf>
    <xf numFmtId="0" fontId="2" fillId="0" borderId="0" xfId="0" applyFont="1"/>
    <xf numFmtId="0" fontId="4" fillId="4" borderId="1" xfId="0" applyFont="1" applyFill="1" applyBorder="1" applyAlignment="1">
      <alignment horizontal="center" vertical="center" wrapText="1"/>
    </xf>
    <xf numFmtId="0" fontId="5" fillId="0" borderId="0" xfId="0" applyFont="1" applyAlignment="1">
      <alignment horizontal="left" vertical="center" wrapText="1"/>
    </xf>
    <xf numFmtId="0" fontId="7" fillId="0" borderId="0" xfId="0"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49" fontId="4" fillId="4" borderId="1" xfId="0" applyNumberFormat="1" applyFont="1" applyFill="1" applyBorder="1" applyAlignment="1">
      <alignment horizontal="center" vertical="center" wrapText="1"/>
    </xf>
    <xf numFmtId="49" fontId="9" fillId="0" borderId="0" xfId="0" applyNumberFormat="1" applyFont="1" applyAlignment="1">
      <alignment horizontal="center"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13" fillId="0" borderId="3" xfId="0" applyFont="1" applyBorder="1" applyAlignment="1">
      <alignment horizontal="left" vertical="center" wrapText="1"/>
    </xf>
    <xf numFmtId="49" fontId="9" fillId="0" borderId="3" xfId="0" applyNumberFormat="1" applyFont="1" applyBorder="1" applyAlignment="1">
      <alignment horizontal="center" vertical="center" wrapText="1"/>
    </xf>
    <xf numFmtId="164" fontId="7" fillId="0" borderId="0" xfId="0" applyNumberFormat="1" applyFont="1" applyAlignment="1">
      <alignment horizontal="right" vertical="center"/>
    </xf>
    <xf numFmtId="0" fontId="10" fillId="0" borderId="4" xfId="0" applyFont="1" applyBorder="1" applyAlignment="1">
      <alignment horizontal="left" vertical="center" wrapText="1"/>
    </xf>
    <xf numFmtId="49" fontId="9" fillId="0" borderId="4" xfId="0" applyNumberFormat="1" applyFont="1" applyBorder="1" applyAlignment="1">
      <alignment horizontal="center" vertical="center" wrapText="1"/>
    </xf>
    <xf numFmtId="0" fontId="5" fillId="0" borderId="0" xfId="0" applyFont="1"/>
    <xf numFmtId="0" fontId="5" fillId="0" borderId="0" xfId="0" applyFont="1" applyAlignment="1">
      <alignment horizontal="center"/>
    </xf>
    <xf numFmtId="0" fontId="11" fillId="0" borderId="0" xfId="0" applyFont="1"/>
    <xf numFmtId="0" fontId="14" fillId="0" borderId="0" xfId="0" applyFont="1" applyAlignment="1">
      <alignment horizontal="left" vertical="center" wrapText="1"/>
    </xf>
    <xf numFmtId="0" fontId="7" fillId="0" borderId="2" xfId="0" applyFont="1" applyBorder="1" applyAlignment="1">
      <alignment horizontal="left" vertical="center" wrapText="1"/>
    </xf>
    <xf numFmtId="0" fontId="9" fillId="0" borderId="2" xfId="0" applyFont="1" applyBorder="1" applyAlignment="1">
      <alignment horizontal="left" vertical="center" wrapText="1"/>
    </xf>
    <xf numFmtId="0" fontId="15" fillId="0" borderId="0" xfId="0" applyFont="1"/>
    <xf numFmtId="0" fontId="17" fillId="0" borderId="0" xfId="0" applyFont="1"/>
    <xf numFmtId="0" fontId="4" fillId="4" borderId="0" xfId="0" applyFont="1" applyFill="1" applyAlignment="1">
      <alignment horizontal="center" vertical="center" wrapText="1"/>
    </xf>
    <xf numFmtId="0" fontId="13" fillId="0" borderId="4" xfId="0" applyFont="1" applyBorder="1" applyAlignment="1">
      <alignment horizontal="left" vertical="center" wrapText="1"/>
    </xf>
    <xf numFmtId="168" fontId="6" fillId="8" borderId="0" xfId="0" applyNumberFormat="1" applyFont="1" applyFill="1"/>
    <xf numFmtId="0" fontId="13" fillId="0" borderId="0" xfId="0" applyFont="1" applyAlignment="1">
      <alignment horizontal="left" vertical="center" wrapText="1"/>
    </xf>
    <xf numFmtId="0" fontId="6" fillId="0" borderId="0" xfId="0" applyFont="1"/>
    <xf numFmtId="0" fontId="10" fillId="0" borderId="2" xfId="0" applyFont="1" applyBorder="1" applyAlignment="1">
      <alignment horizontal="left" vertical="center" wrapText="1"/>
    </xf>
    <xf numFmtId="0" fontId="19" fillId="9" borderId="2" xfId="0" applyFont="1" applyFill="1" applyBorder="1"/>
    <xf numFmtId="0" fontId="9" fillId="0" borderId="3" xfId="0" applyFont="1" applyBorder="1" applyAlignment="1">
      <alignment horizontal="left" vertical="center" wrapText="1"/>
    </xf>
    <xf numFmtId="0" fontId="5" fillId="0" borderId="2" xfId="0" applyFont="1" applyBorder="1"/>
    <xf numFmtId="0" fontId="20" fillId="0" borderId="0" xfId="0" applyFont="1"/>
    <xf numFmtId="0" fontId="19" fillId="9" borderId="2" xfId="0" applyFont="1" applyFill="1" applyBorder="1" applyAlignment="1">
      <alignment horizontal="center" wrapText="1"/>
    </xf>
    <xf numFmtId="0" fontId="6" fillId="0" borderId="2" xfId="0" applyFont="1" applyBorder="1"/>
    <xf numFmtId="0" fontId="21" fillId="7" borderId="2" xfId="0" applyFont="1" applyFill="1" applyBorder="1"/>
    <xf numFmtId="0" fontId="0" fillId="7" borderId="2" xfId="0" applyFill="1" applyBorder="1"/>
    <xf numFmtId="171" fontId="22" fillId="0" borderId="2" xfId="0" applyNumberFormat="1" applyFont="1" applyBorder="1"/>
    <xf numFmtId="171" fontId="6" fillId="0" borderId="2" xfId="0" applyNumberFormat="1" applyFont="1" applyBorder="1"/>
    <xf numFmtId="171" fontId="5" fillId="0" borderId="2" xfId="0" applyNumberFormat="1" applyFont="1" applyBorder="1"/>
    <xf numFmtId="0" fontId="17" fillId="0" borderId="2" xfId="0" applyFont="1" applyBorder="1"/>
    <xf numFmtId="167" fontId="22" fillId="0" borderId="2" xfId="0" applyNumberFormat="1" applyFont="1" applyBorder="1"/>
    <xf numFmtId="0" fontId="23" fillId="0" borderId="0" xfId="0" applyFont="1"/>
    <xf numFmtId="171" fontId="24" fillId="0" borderId="0" xfId="0" applyNumberFormat="1" applyFont="1"/>
    <xf numFmtId="168" fontId="24" fillId="0" borderId="0" xfId="0" applyNumberFormat="1" applyFont="1"/>
    <xf numFmtId="0" fontId="10" fillId="0" borderId="2" xfId="0" applyFont="1" applyBorder="1" applyAlignment="1">
      <alignment horizontal="center" vertical="center" wrapText="1"/>
    </xf>
    <xf numFmtId="0" fontId="12" fillId="6" borderId="2" xfId="0" applyFont="1" applyFill="1" applyBorder="1" applyAlignment="1">
      <alignment horizontal="left" vertical="center" wrapText="1"/>
    </xf>
    <xf numFmtId="0" fontId="12" fillId="0" borderId="0" xfId="0" applyFont="1" applyAlignment="1">
      <alignment horizontal="left" vertical="center" wrapText="1"/>
    </xf>
    <xf numFmtId="0" fontId="26" fillId="0" borderId="0" xfId="0" applyFont="1" applyAlignment="1">
      <alignment horizontal="left" vertical="center" wrapText="1"/>
    </xf>
    <xf numFmtId="0" fontId="17" fillId="0" borderId="0" xfId="0" applyFont="1" applyAlignment="1">
      <alignment vertical="top" wrapText="1"/>
    </xf>
    <xf numFmtId="0" fontId="10" fillId="5" borderId="0" xfId="0" applyFont="1" applyFill="1" applyAlignment="1">
      <alignment horizontal="left" vertical="center" wrapText="1"/>
    </xf>
    <xf numFmtId="0" fontId="3" fillId="3" borderId="0" xfId="0" applyFont="1" applyFill="1" applyAlignment="1">
      <alignment horizontal="left" vertical="center" wrapText="1"/>
    </xf>
    <xf numFmtId="0" fontId="4" fillId="4" borderId="2" xfId="0" applyFont="1" applyFill="1" applyBorder="1" applyAlignment="1">
      <alignment horizontal="center" vertical="center" wrapText="1"/>
    </xf>
    <xf numFmtId="0" fontId="6" fillId="0" borderId="0" xfId="0" applyFont="1" applyAlignment="1">
      <alignment vertical="top" wrapText="1"/>
    </xf>
    <xf numFmtId="0" fontId="27" fillId="2" borderId="0" xfId="0" applyFont="1" applyFill="1" applyAlignment="1">
      <alignment horizontal="center" vertical="center" wrapText="1"/>
    </xf>
    <xf numFmtId="0" fontId="1" fillId="0" borderId="0" xfId="0" applyFont="1"/>
    <xf numFmtId="0" fontId="28" fillId="0" borderId="0" xfId="0" applyFont="1"/>
    <xf numFmtId="0" fontId="29" fillId="0" borderId="0" xfId="0" applyFont="1" applyAlignment="1">
      <alignment horizontal="center" vertical="center" wrapText="1"/>
    </xf>
    <xf numFmtId="0" fontId="30" fillId="3" borderId="0" xfId="0" applyFont="1" applyFill="1" applyAlignment="1">
      <alignment horizontal="left" vertical="center" wrapText="1"/>
    </xf>
    <xf numFmtId="0" fontId="31" fillId="4" borderId="1" xfId="0" applyFont="1" applyFill="1" applyBorder="1" applyAlignment="1">
      <alignment horizontal="center" vertical="center" wrapText="1"/>
    </xf>
    <xf numFmtId="0" fontId="32" fillId="0" borderId="2" xfId="0" applyFont="1" applyBorder="1" applyAlignment="1">
      <alignment horizontal="left" vertical="center" wrapText="1"/>
    </xf>
    <xf numFmtId="0" fontId="33" fillId="0" borderId="2" xfId="0" applyFont="1" applyBorder="1" applyAlignment="1">
      <alignment horizontal="left" vertical="center" wrapText="1"/>
    </xf>
    <xf numFmtId="0" fontId="34" fillId="0" borderId="0" xfId="0" applyFont="1"/>
    <xf numFmtId="0" fontId="35" fillId="0" borderId="0" xfId="0" applyFont="1" applyAlignment="1">
      <alignment horizontal="left" vertical="center" wrapText="1"/>
    </xf>
    <xf numFmtId="3" fontId="7" fillId="0" borderId="0" xfId="0" applyNumberFormat="1" applyFont="1" applyAlignment="1">
      <alignment horizontal="right" vertical="center"/>
    </xf>
    <xf numFmtId="0" fontId="36" fillId="0" borderId="0" xfId="0" applyFont="1"/>
    <xf numFmtId="0" fontId="12" fillId="0" borderId="0" xfId="0" applyFont="1" applyBorder="1" applyAlignment="1">
      <alignment horizontal="left" vertical="center" wrapText="1"/>
    </xf>
    <xf numFmtId="0" fontId="3" fillId="3" borderId="5" xfId="0" applyFont="1" applyFill="1" applyBorder="1" applyAlignment="1">
      <alignment horizontal="center" vertical="center" wrapText="1"/>
    </xf>
    <xf numFmtId="0" fontId="3" fillId="10" borderId="0" xfId="0" applyFont="1" applyFill="1" applyAlignment="1">
      <alignment vertical="center" wrapText="1"/>
    </xf>
    <xf numFmtId="0" fontId="4" fillId="11" borderId="0" xfId="0" applyFont="1" applyFill="1" applyBorder="1" applyAlignment="1">
      <alignment horizontal="center" vertical="center" wrapText="1"/>
    </xf>
    <xf numFmtId="164" fontId="11" fillId="12" borderId="0" xfId="0" applyNumberFormat="1" applyFont="1" applyFill="1" applyAlignment="1">
      <alignment horizontal="right" vertical="center"/>
    </xf>
    <xf numFmtId="165" fontId="39" fillId="14" borderId="2" xfId="0" applyNumberFormat="1" applyFont="1" applyFill="1" applyBorder="1" applyAlignment="1">
      <alignment horizontal="right" vertical="center"/>
    </xf>
    <xf numFmtId="166" fontId="39" fillId="14" borderId="2" xfId="0" applyNumberFormat="1" applyFont="1" applyFill="1" applyBorder="1" applyAlignment="1">
      <alignment horizontal="right" vertical="center"/>
    </xf>
    <xf numFmtId="0" fontId="40" fillId="14" borderId="2" xfId="0" applyFont="1" applyFill="1" applyBorder="1"/>
    <xf numFmtId="164" fontId="39" fillId="14" borderId="2" xfId="0" applyNumberFormat="1" applyFont="1" applyFill="1" applyBorder="1" applyAlignment="1">
      <alignment horizontal="right" vertical="center"/>
    </xf>
    <xf numFmtId="0" fontId="39" fillId="14" borderId="2" xfId="0" applyFont="1" applyFill="1" applyBorder="1" applyAlignment="1">
      <alignment horizontal="left" vertical="center" wrapText="1"/>
    </xf>
    <xf numFmtId="167" fontId="41" fillId="15" borderId="0" xfId="0" applyNumberFormat="1" applyFont="1" applyFill="1"/>
    <xf numFmtId="168" fontId="39" fillId="14" borderId="2" xfId="0" applyNumberFormat="1" applyFont="1" applyFill="1" applyBorder="1" applyAlignment="1">
      <alignment horizontal="right" vertical="center"/>
    </xf>
    <xf numFmtId="174" fontId="42" fillId="12" borderId="0" xfId="0" applyNumberFormat="1" applyFont="1" applyFill="1" applyAlignment="1">
      <alignment horizontal="right" vertical="center"/>
    </xf>
    <xf numFmtId="174" fontId="38" fillId="12" borderId="0" xfId="0" applyNumberFormat="1" applyFont="1" applyFill="1" applyAlignment="1">
      <alignment horizontal="right" vertical="center"/>
    </xf>
    <xf numFmtId="174" fontId="43" fillId="13" borderId="0" xfId="0" applyNumberFormat="1" applyFont="1" applyFill="1"/>
    <xf numFmtId="174" fontId="38" fillId="12" borderId="3" xfId="0" applyNumberFormat="1" applyFont="1" applyFill="1" applyBorder="1" applyAlignment="1">
      <alignment horizontal="right" vertical="center"/>
    </xf>
    <xf numFmtId="174" fontId="38" fillId="12" borderId="4" xfId="0" applyNumberFormat="1" applyFont="1" applyFill="1" applyBorder="1" applyAlignment="1">
      <alignment horizontal="right" vertical="center"/>
    </xf>
    <xf numFmtId="0" fontId="46" fillId="0" borderId="0" xfId="0" applyFont="1"/>
    <xf numFmtId="0" fontId="33" fillId="0" borderId="0" xfId="0" applyFont="1"/>
    <xf numFmtId="164" fontId="44" fillId="16" borderId="0" xfId="0" applyNumberFormat="1" applyFont="1" applyFill="1" applyAlignment="1">
      <alignment horizontal="right" vertical="center"/>
    </xf>
    <xf numFmtId="164" fontId="44" fillId="16" borderId="4" xfId="0" applyNumberFormat="1" applyFont="1" applyFill="1" applyBorder="1" applyAlignment="1">
      <alignment horizontal="right" vertical="center"/>
    </xf>
    <xf numFmtId="168" fontId="45" fillId="16" borderId="0" xfId="0" applyNumberFormat="1" applyFont="1" applyFill="1" applyAlignment="1">
      <alignment horizontal="right" vertical="center"/>
    </xf>
    <xf numFmtId="164" fontId="18" fillId="16" borderId="0" xfId="0" applyNumberFormat="1" applyFont="1" applyFill="1" applyAlignment="1">
      <alignment horizontal="right" vertical="center"/>
    </xf>
    <xf numFmtId="164" fontId="7" fillId="17" borderId="0" xfId="0" applyNumberFormat="1" applyFont="1" applyFill="1" applyAlignment="1">
      <alignment horizontal="right" vertical="center"/>
    </xf>
    <xf numFmtId="166" fontId="7" fillId="17" borderId="0" xfId="0" applyNumberFormat="1" applyFont="1" applyFill="1" applyAlignment="1">
      <alignment horizontal="right" vertical="center"/>
    </xf>
    <xf numFmtId="166" fontId="7" fillId="17" borderId="4" xfId="0" applyNumberFormat="1" applyFont="1" applyFill="1" applyBorder="1" applyAlignment="1">
      <alignment horizontal="right" vertical="center"/>
    </xf>
    <xf numFmtId="168" fontId="33" fillId="0" borderId="0" xfId="0" applyNumberFormat="1" applyFont="1"/>
    <xf numFmtId="169" fontId="47" fillId="17" borderId="2" xfId="0" applyNumberFormat="1" applyFont="1" applyFill="1" applyBorder="1" applyAlignment="1">
      <alignment horizontal="right" vertical="center"/>
    </xf>
    <xf numFmtId="166" fontId="47" fillId="17" borderId="2" xfId="0" applyNumberFormat="1" applyFont="1" applyFill="1" applyBorder="1" applyAlignment="1">
      <alignment horizontal="right" vertical="center"/>
    </xf>
    <xf numFmtId="0" fontId="48" fillId="9" borderId="2" xfId="0" applyFont="1" applyFill="1" applyBorder="1"/>
    <xf numFmtId="0" fontId="49" fillId="0" borderId="0" xfId="0" applyFont="1"/>
    <xf numFmtId="168" fontId="47" fillId="13" borderId="2" xfId="0" applyNumberFormat="1" applyFont="1" applyFill="1" applyBorder="1"/>
    <xf numFmtId="167" fontId="47" fillId="13" borderId="2" xfId="0" applyNumberFormat="1" applyFont="1" applyFill="1" applyBorder="1"/>
    <xf numFmtId="167" fontId="47" fillId="18" borderId="2" xfId="0" applyNumberFormat="1" applyFont="1" applyFill="1" applyBorder="1"/>
    <xf numFmtId="0" fontId="50" fillId="0" borderId="2" xfId="0" applyFont="1" applyBorder="1" applyAlignment="1">
      <alignment horizontal="left" vertical="center" wrapText="1"/>
    </xf>
    <xf numFmtId="165" fontId="44" fillId="16" borderId="0" xfId="0" applyNumberFormat="1" applyFont="1" applyFill="1" applyAlignment="1">
      <alignment horizontal="right" vertical="center"/>
    </xf>
    <xf numFmtId="164" fontId="45" fillId="16" borderId="0" xfId="0" applyNumberFormat="1" applyFont="1" applyFill="1" applyAlignment="1">
      <alignment horizontal="right" vertical="center"/>
    </xf>
    <xf numFmtId="0" fontId="52" fillId="0" borderId="0" xfId="0" applyFont="1" applyAlignment="1">
      <alignment horizontal="left" vertical="center" wrapText="1"/>
    </xf>
    <xf numFmtId="0" fontId="52" fillId="0" borderId="2" xfId="0" applyFont="1" applyBorder="1" applyAlignment="1">
      <alignment horizontal="left" vertical="center" wrapText="1"/>
    </xf>
    <xf numFmtId="0" fontId="51" fillId="0" borderId="3" xfId="0" applyFont="1" applyBorder="1" applyAlignment="1">
      <alignment horizontal="left" vertical="center" wrapText="1"/>
    </xf>
    <xf numFmtId="0" fontId="37" fillId="0" borderId="2" xfId="0" applyFont="1" applyBorder="1"/>
    <xf numFmtId="170" fontId="51" fillId="17" borderId="2" xfId="0" applyNumberFormat="1" applyFont="1" applyFill="1" applyBorder="1" applyAlignment="1">
      <alignment horizontal="right" vertical="center"/>
    </xf>
    <xf numFmtId="170" fontId="51" fillId="17" borderId="3" xfId="0" applyNumberFormat="1" applyFont="1" applyFill="1" applyBorder="1" applyAlignment="1">
      <alignment horizontal="right" vertical="center"/>
    </xf>
    <xf numFmtId="168" fontId="18" fillId="16" borderId="2" xfId="0" applyNumberFormat="1" applyFont="1" applyFill="1" applyBorder="1" applyAlignment="1">
      <alignment horizontal="right" vertical="center"/>
    </xf>
    <xf numFmtId="168" fontId="7" fillId="17" borderId="2" xfId="0" applyNumberFormat="1" applyFont="1" applyFill="1" applyBorder="1" applyAlignment="1">
      <alignment horizontal="right" vertical="center"/>
    </xf>
    <xf numFmtId="168" fontId="16" fillId="12" borderId="2" xfId="0" applyNumberFormat="1" applyFont="1" applyFill="1" applyBorder="1"/>
    <xf numFmtId="171" fontId="5" fillId="18" borderId="2" xfId="0" applyNumberFormat="1" applyFont="1" applyFill="1" applyBorder="1"/>
    <xf numFmtId="0" fontId="0" fillId="13" borderId="0" xfId="0" applyFill="1"/>
    <xf numFmtId="0" fontId="37" fillId="0" borderId="0" xfId="0" applyFont="1"/>
    <xf numFmtId="171" fontId="37" fillId="18" borderId="2" xfId="0" applyNumberFormat="1" applyFont="1" applyFill="1" applyBorder="1"/>
    <xf numFmtId="168" fontId="45" fillId="0" borderId="2" xfId="0" applyNumberFormat="1" applyFont="1" applyBorder="1"/>
    <xf numFmtId="0" fontId="53" fillId="0" borderId="0" xfId="0" applyFont="1"/>
    <xf numFmtId="0" fontId="54" fillId="0" borderId="0" xfId="0" applyFont="1"/>
    <xf numFmtId="0" fontId="5" fillId="16" borderId="2" xfId="0" applyFont="1" applyFill="1" applyBorder="1" applyAlignment="1">
      <alignment vertical="top" wrapText="1"/>
    </xf>
    <xf numFmtId="0" fontId="6" fillId="16" borderId="2" xfId="0" applyFont="1" applyFill="1" applyBorder="1" applyAlignment="1">
      <alignment vertical="top" wrapText="1"/>
    </xf>
    <xf numFmtId="0" fontId="5" fillId="13" borderId="2" xfId="0" applyFont="1" applyFill="1" applyBorder="1" applyAlignment="1">
      <alignment vertical="top" wrapText="1"/>
    </xf>
    <xf numFmtId="0" fontId="6" fillId="13" borderId="2" xfId="0" applyFont="1" applyFill="1" applyBorder="1" applyAlignment="1">
      <alignment vertical="top" wrapText="1"/>
    </xf>
    <xf numFmtId="0" fontId="5" fillId="20" borderId="2" xfId="0" applyFont="1" applyFill="1" applyBorder="1" applyAlignment="1">
      <alignment vertical="top" wrapText="1"/>
    </xf>
    <xf numFmtId="0" fontId="6" fillId="20" borderId="2" xfId="0" applyFont="1" applyFill="1" applyBorder="1" applyAlignment="1">
      <alignment vertical="top" wrapText="1"/>
    </xf>
    <xf numFmtId="0" fontId="55" fillId="0" borderId="0" xfId="0" applyFont="1" applyAlignment="1">
      <alignment vertical="top" wrapText="1"/>
    </xf>
    <xf numFmtId="0" fontId="56" fillId="19" borderId="0" xfId="0" applyFont="1" applyFill="1" applyAlignment="1">
      <alignment vertical="top" wrapText="1"/>
    </xf>
    <xf numFmtId="0" fontId="56" fillId="0" borderId="0" xfId="0" applyFont="1" applyAlignment="1">
      <alignment vertical="top" wrapText="1"/>
    </xf>
    <xf numFmtId="0" fontId="57" fillId="0" borderId="0" xfId="0" applyFont="1" applyAlignment="1">
      <alignment vertical="top" wrapText="1"/>
    </xf>
    <xf numFmtId="168" fontId="0" fillId="13" borderId="2" xfId="0" applyNumberFormat="1" applyFill="1" applyBorder="1"/>
    <xf numFmtId="171" fontId="37" fillId="0" borderId="2" xfId="0" applyNumberFormat="1" applyFont="1" applyBorder="1"/>
    <xf numFmtId="0" fontId="55" fillId="0" borderId="0" xfId="0" applyFont="1"/>
    <xf numFmtId="0" fontId="55" fillId="0" borderId="0" xfId="0" applyFont="1" applyAlignment="1">
      <alignment vertical="top" wrapText="1"/>
    </xf>
    <xf numFmtId="0" fontId="40" fillId="0" borderId="0" xfId="0" applyFont="1"/>
    <xf numFmtId="168" fontId="6" fillId="13" borderId="2" xfId="0" applyNumberFormat="1" applyFont="1" applyFill="1" applyBorder="1"/>
    <xf numFmtId="171" fontId="6" fillId="13" borderId="2" xfId="0" applyNumberFormat="1" applyFont="1" applyFill="1" applyBorder="1"/>
    <xf numFmtId="168" fontId="5" fillId="18" borderId="2" xfId="0" applyNumberFormat="1" applyFont="1" applyFill="1" applyBorder="1"/>
    <xf numFmtId="167" fontId="22" fillId="13" borderId="2" xfId="0" applyNumberFormat="1" applyFont="1" applyFill="1" applyBorder="1"/>
    <xf numFmtId="168" fontId="45" fillId="13" borderId="2" xfId="0" applyNumberFormat="1" applyFont="1" applyFill="1" applyBorder="1"/>
    <xf numFmtId="171" fontId="25" fillId="18" borderId="2" xfId="0" applyNumberFormat="1" applyFont="1" applyFill="1" applyBorder="1"/>
    <xf numFmtId="171" fontId="22" fillId="16" borderId="2" xfId="0" applyNumberFormat="1" applyFont="1" applyFill="1" applyBorder="1"/>
    <xf numFmtId="171" fontId="22" fillId="13" borderId="2" xfId="0" applyNumberFormat="1" applyFont="1" applyFill="1" applyBorder="1"/>
    <xf numFmtId="0" fontId="58" fillId="19"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DF2E9"/>
      <rgbColor rgb="FFFF00FF"/>
      <rgbColor rgb="FF00FFFF"/>
      <rgbColor rgb="FF800000"/>
      <rgbColor rgb="FF008000"/>
      <rgbColor rgb="FF000080"/>
      <rgbColor rgb="FF808000"/>
      <rgbColor rgb="FF800080"/>
      <rgbColor rgb="FF008080"/>
      <rgbColor rgb="FFBFBFBF"/>
      <rgbColor rgb="FF7F7F7F"/>
      <rgbColor rgb="FFEDEDED"/>
      <rgbColor rgb="FF9F423F"/>
      <rgbColor rgb="FFFFF9E6"/>
      <rgbColor rgb="FFE8F5E9"/>
      <rgbColor rgb="FF660066"/>
      <rgbColor rgb="FFFF8080"/>
      <rgbColor rgb="FF1F4E78"/>
      <rgbColor rgb="FFBDD7EE"/>
      <rgbColor rgb="FF000080"/>
      <rgbColor rgb="FFFF00FF"/>
      <rgbColor rgb="FFFFFF00"/>
      <rgbColor rgb="FF00FFFF"/>
      <rgbColor rgb="FF800080"/>
      <rgbColor rgb="FF800000"/>
      <rgbColor rgb="FF008080"/>
      <rgbColor rgb="FF0000FF"/>
      <rgbColor rgb="FF00CCFF"/>
      <rgbColor rgb="FFEAF1F8"/>
      <rgbColor rgb="FFE2EFDA"/>
      <rgbColor rgb="FFFFF2CC"/>
      <rgbColor rgb="FFD9D9D9"/>
      <rgbColor rgb="FFD8AAA9"/>
      <rgbColor rgb="FFD9E1F2"/>
      <rgbColor rgb="FFFCE4D6"/>
      <rgbColor rgb="FF4F81BD"/>
      <rgbColor rgb="FF33CCCC"/>
      <rgbColor rgb="FF9BBB59"/>
      <rgbColor rgb="FFFFC000"/>
      <rgbColor rgb="FFFF9900"/>
      <rgbColor rgb="FFED7D31"/>
      <rgbColor rgb="FF8064A2"/>
      <rgbColor rgb="FFB3B3B3"/>
      <rgbColor rgb="FF1F3864"/>
      <rgbColor rgb="FF70AD47"/>
      <rgbColor rgb="FF003300"/>
      <rgbColor rgb="FF595959"/>
      <rgbColor rgb="FFC55A11"/>
      <rgbColor rgb="FFC0504D"/>
      <rgbColor rgb="FF203864"/>
      <rgbColor rgb="FF404040"/>
      <rgbColor rgb="00003366"/>
      <rgbColor rgb="00339966"/>
      <rgbColor rgb="00003300"/>
      <rgbColor rgb="00333300"/>
      <rgbColor rgb="00993300"/>
      <rgbColor rgb="00993366"/>
      <rgbColor rgb="00333399"/>
      <rgbColor rgb="00333333"/>
    </indexedColors>
    <mruColors>
      <color rgb="FF008000"/>
      <color rgb="FF0000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NHH cash conversion cycle, FY2023-FY2025 (days)</a:t>
            </a:r>
          </a:p>
        </c:rich>
      </c:tx>
      <c:overlay val="0"/>
      <c:spPr>
        <a:noFill/>
        <a:ln w="0">
          <a:noFill/>
        </a:ln>
      </c:spPr>
    </c:title>
    <c:autoTitleDeleted val="0"/>
    <c:plotArea>
      <c:layout/>
      <c:lineChart>
        <c:grouping val="standard"/>
        <c:varyColors val="0"/>
        <c:ser>
          <c:idx val="0"/>
          <c:order val="0"/>
          <c:tx>
            <c:strRef>
              <c:f>'08_Dashboard'!$B$16</c:f>
              <c:strCache>
                <c:ptCount val="1"/>
                <c:pt idx="0">
                  <c:v>DSO</c:v>
                </c:pt>
              </c:strCache>
            </c:strRef>
          </c:tx>
          <c:spPr>
            <a:ln w="28440" cap="rnd">
              <a:solidFill>
                <a:srgbClr val="4F81BD"/>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'08_Dashboard'!$C$16:$E$16</c:f>
              <c:numCache>
                <c:formatCode>#,##0.0;\(#,##0.0\);\-</c:formatCode>
                <c:ptCount val="3"/>
                <c:pt idx="0">
                  <c:v>51.574466444910833</c:v>
                </c:pt>
                <c:pt idx="1">
                  <c:v>45.653391425323946</c:v>
                </c:pt>
                <c:pt idx="2">
                  <c:v>45.790347206617469</c:v>
                </c:pt>
              </c:numCache>
            </c:numRef>
          </c:val>
          <c:smooth val="1"/>
          <c:extLst>
            <c:ext xmlns:c16="http://schemas.microsoft.com/office/drawing/2014/chart" uri="{C3380CC4-5D6E-409C-BE32-E72D297353CC}">
              <c16:uniqueId val="{00000000-AB64-49C7-BEA5-9F8120EDA626}"/>
            </c:ext>
          </c:extLst>
        </c:ser>
        <c:ser>
          <c:idx val="1"/>
          <c:order val="1"/>
          <c:tx>
            <c:strRef>
              <c:f>'08_Dashboard'!$B$17</c:f>
              <c:strCache>
                <c:ptCount val="1"/>
                <c:pt idx="0">
                  <c:v>DIO - total</c:v>
                </c:pt>
              </c:strCache>
            </c:strRef>
          </c:tx>
          <c:spPr>
            <a:ln w="28440" cap="rnd">
              <a:solidFill>
                <a:srgbClr val="C0504D"/>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'08_Dashboard'!$C$17:$E$17</c:f>
              <c:numCache>
                <c:formatCode>#,##0.0;\(#,##0.0\);\-</c:formatCode>
                <c:ptCount val="3"/>
                <c:pt idx="0">
                  <c:v>62.755571453022462</c:v>
                </c:pt>
                <c:pt idx="1">
                  <c:v>48.060081776737661</c:v>
                </c:pt>
                <c:pt idx="2">
                  <c:v>43.725015443057039</c:v>
                </c:pt>
              </c:numCache>
            </c:numRef>
          </c:val>
          <c:smooth val="1"/>
          <c:extLst>
            <c:ext xmlns:c16="http://schemas.microsoft.com/office/drawing/2014/chart" uri="{C3380CC4-5D6E-409C-BE32-E72D297353CC}">
              <c16:uniqueId val="{00000001-AB64-49C7-BEA5-9F8120EDA626}"/>
            </c:ext>
          </c:extLst>
        </c:ser>
        <c:ser>
          <c:idx val="2"/>
          <c:order val="2"/>
          <c:tx>
            <c:strRef>
              <c:f>'08_Dashboard'!$B$18</c:f>
              <c:strCache>
                <c:ptCount val="1"/>
                <c:pt idx="0">
                  <c:v>DPO</c:v>
                </c:pt>
              </c:strCache>
            </c:strRef>
          </c:tx>
          <c:spPr>
            <a:ln w="28440" cap="rnd">
              <a:solidFill>
                <a:srgbClr val="9BBB59"/>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'08_Dashboard'!$C$18:$E$18</c:f>
              <c:numCache>
                <c:formatCode>#,##0.0;\(#,##0.0\);\-</c:formatCode>
                <c:ptCount val="3"/>
                <c:pt idx="0">
                  <c:v>42.471733965256661</c:v>
                </c:pt>
                <c:pt idx="1">
                  <c:v>29.730726470358803</c:v>
                </c:pt>
                <c:pt idx="2">
                  <c:v>32.014684532184937</c:v>
                </c:pt>
              </c:numCache>
            </c:numRef>
          </c:val>
          <c:smooth val="1"/>
          <c:extLst>
            <c:ext xmlns:c16="http://schemas.microsoft.com/office/drawing/2014/chart" uri="{C3380CC4-5D6E-409C-BE32-E72D297353CC}">
              <c16:uniqueId val="{00000002-AB64-49C7-BEA5-9F8120EDA626}"/>
            </c:ext>
          </c:extLst>
        </c:ser>
        <c:ser>
          <c:idx val="3"/>
          <c:order val="3"/>
          <c:tx>
            <c:strRef>
              <c:f>'08_Dashboard'!$B$19</c:f>
              <c:strCache>
                <c:ptCount val="1"/>
                <c:pt idx="0">
                  <c:v>CCC</c:v>
                </c:pt>
              </c:strCache>
            </c:strRef>
          </c:tx>
          <c:spPr>
            <a:ln w="28440" cap="rnd">
              <a:solidFill>
                <a:srgbClr val="8064A2"/>
              </a:solidFill>
              <a:round/>
            </a:ln>
          </c:spPr>
          <c:marker>
            <c:symbol val="none"/>
          </c:marker>
          <c:dLbls>
            <c:spPr>
              <a:noFill/>
              <a:ln>
                <a:noFill/>
              </a:ln>
              <a:effectLst/>
            </c:spPr>
            <c:txPr>
              <a:bodyPr wrap="square"/>
              <a:lstStyle/>
              <a:p>
                <a:pPr>
                  <a:defRPr sz="900" b="0" strike="noStrike" spc="-1">
                    <a:solidFill>
                      <a:srgbClr val="404040"/>
                    </a:solidFill>
                    <a:latin typeface="Calibri"/>
                  </a:defRPr>
                </a:pPr>
                <a:endParaRPr lang="en-US"/>
              </a:p>
            </c:txPr>
            <c:dLblPos val="r"/>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'08_Dashboard'!$C$15:$E$15</c:f>
              <c:strCache>
                <c:ptCount val="3"/>
                <c:pt idx="0">
                  <c:v>FY2023</c:v>
                </c:pt>
                <c:pt idx="1">
                  <c:v>FY2024</c:v>
                </c:pt>
                <c:pt idx="2">
                  <c:v>FY2025</c:v>
                </c:pt>
              </c:strCache>
            </c:strRef>
          </c:cat>
          <c:val>
            <c:numRef>
              <c:f>'08_Dashboard'!$C$19:$E$19</c:f>
              <c:numCache>
                <c:formatCode>#,##0.0;\(#,##0.0\);\-</c:formatCode>
                <c:ptCount val="3"/>
                <c:pt idx="0">
                  <c:v>71.858303932676634</c:v>
                </c:pt>
                <c:pt idx="1">
                  <c:v>63.982746731702804</c:v>
                </c:pt>
                <c:pt idx="2">
                  <c:v>57.500678117489564</c:v>
                </c:pt>
              </c:numCache>
            </c:numRef>
          </c:val>
          <c:smooth val="1"/>
          <c:extLst>
            <c:ext xmlns:c16="http://schemas.microsoft.com/office/drawing/2014/chart" uri="{C3380CC4-5D6E-409C-BE32-E72D297353CC}">
              <c16:uniqueId val="{00000003-AB64-49C7-BEA5-9F8120EDA626}"/>
            </c:ext>
          </c:extLst>
        </c:ser>
        <c:dLbls>
          <c:showLegendKey val="0"/>
          <c:showVal val="0"/>
          <c:showCatName val="0"/>
          <c:showSerName val="0"/>
          <c:showPercent val="0"/>
          <c:showBubbleSize val="0"/>
        </c:dLbls>
        <c:hiLowLines>
          <c:spPr>
            <a:ln w="0">
              <a:noFill/>
            </a:ln>
          </c:spPr>
        </c:hiLowLines>
        <c:smooth val="0"/>
        <c:axId val="1097603"/>
        <c:axId val="80198920"/>
      </c:lineChart>
      <c:catAx>
        <c:axId val="109760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80198920"/>
        <c:crosses val="autoZero"/>
        <c:auto val="1"/>
        <c:lblAlgn val="ctr"/>
        <c:lblOffset val="100"/>
        <c:noMultiLvlLbl val="0"/>
      </c:catAx>
      <c:valAx>
        <c:axId val="80198920"/>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Days</a:t>
                </a:r>
              </a:p>
            </c:rich>
          </c:tx>
          <c:overlay val="0"/>
          <c:spPr>
            <a:noFill/>
            <a:ln w="0">
              <a:noFill/>
            </a:ln>
          </c:spPr>
        </c:title>
        <c:numFmt formatCode="#,##0.0;\(#,##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1097603"/>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Cash conversion cycle by company, FY2025 (days)</a:t>
            </a:r>
          </a:p>
        </c:rich>
      </c:tx>
      <c:overlay val="0"/>
      <c:spPr>
        <a:noFill/>
        <a:ln w="0">
          <a:noFill/>
        </a:ln>
      </c:spPr>
    </c:title>
    <c:autoTitleDeleted val="0"/>
    <c:plotArea>
      <c:layout/>
      <c:barChart>
        <c:barDir val="col"/>
        <c:grouping val="clustered"/>
        <c:varyColors val="0"/>
        <c:ser>
          <c:idx val="0"/>
          <c:order val="0"/>
          <c:tx>
            <c:strRef>
              <c:f>'08_Dashboard'!$F$22</c:f>
              <c:strCache>
                <c:ptCount val="1"/>
                <c:pt idx="0">
                  <c:v>CCC</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'08_Dashboard'!$B$23:$B$27</c:f>
              <c:strCache>
                <c:ptCount val="5"/>
                <c:pt idx="0">
                  <c:v>Nhua Ha Noi</c:v>
                </c:pt>
                <c:pt idx="1">
                  <c:v>SKP Resources Bhd</c:v>
                </c:pt>
                <c:pt idx="2">
                  <c:v>Sanko Gosei Ltd</c:v>
                </c:pt>
                <c:pt idx="3">
                  <c:v>Nolato AB</c:v>
                </c:pt>
                <c:pt idx="4">
                  <c:v>Nhua Tien Phong</c:v>
                </c:pt>
              </c:strCache>
            </c:strRef>
          </c:cat>
          <c:val>
            <c:numRef>
              <c:f>'08_Dashboard'!$F$23:$F$27</c:f>
              <c:numCache>
                <c:formatCode>#,##0.0;\(#,##0.0\);\-</c:formatCode>
                <c:ptCount val="5"/>
                <c:pt idx="0">
                  <c:v>57.500678117489564</c:v>
                </c:pt>
                <c:pt idx="1">
                  <c:v>54.678851282617188</c:v>
                </c:pt>
                <c:pt idx="2">
                  <c:v>55.316802332208887</c:v>
                </c:pt>
                <c:pt idx="3">
                  <c:v>82.601831687574759</c:v>
                </c:pt>
                <c:pt idx="4">
                  <c:v>93.337953096237584</c:v>
                </c:pt>
              </c:numCache>
            </c:numRef>
          </c:val>
          <c:extLst>
            <c:ext xmlns:c16="http://schemas.microsoft.com/office/drawing/2014/chart" uri="{C3380CC4-5D6E-409C-BE32-E72D297353CC}">
              <c16:uniqueId val="{00000000-9BEB-41D7-AF0F-0A00F6A757E8}"/>
            </c:ext>
          </c:extLst>
        </c:ser>
        <c:dLbls>
          <c:showLegendKey val="0"/>
          <c:showVal val="0"/>
          <c:showCatName val="0"/>
          <c:showSerName val="0"/>
          <c:showPercent val="0"/>
          <c:showBubbleSize val="0"/>
        </c:dLbls>
        <c:gapWidth val="150"/>
        <c:axId val="4379246"/>
        <c:axId val="22074063"/>
      </c:barChart>
      <c:catAx>
        <c:axId val="43792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2074063"/>
        <c:crosses val="autoZero"/>
        <c:auto val="1"/>
        <c:lblAlgn val="ctr"/>
        <c:lblOffset val="100"/>
        <c:noMultiLvlLbl val="0"/>
      </c:catAx>
      <c:valAx>
        <c:axId val="2207406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Days</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3792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CCC composition, FY2025: NHH versus OEM peers</a:t>
            </a:r>
          </a:p>
        </c:rich>
      </c:tx>
      <c:overlay val="0"/>
      <c:spPr>
        <a:noFill/>
        <a:ln w="0">
          <a:noFill/>
        </a:ln>
      </c:spPr>
    </c:title>
    <c:autoTitleDeleted val="0"/>
    <c:plotArea>
      <c:layout/>
      <c:barChart>
        <c:barDir val="col"/>
        <c:grouping val="clustered"/>
        <c:varyColors val="0"/>
        <c:ser>
          <c:idx val="0"/>
          <c:order val="0"/>
          <c:tx>
            <c:strRef>
              <c:f>'08_Dashboard'!$C$22</c:f>
              <c:strCache>
                <c:ptCount val="1"/>
                <c:pt idx="0">
                  <c:v>DSO</c:v>
                </c:pt>
              </c:strCache>
            </c:strRef>
          </c:tx>
          <c:spPr>
            <a:solidFill>
              <a:srgbClr val="9F423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'08_Dashboard'!$C$23:$C$25</c:f>
              <c:numCache>
                <c:formatCode>#,##0.0;\(#,##0.0\);\-</c:formatCode>
                <c:ptCount val="3"/>
                <c:pt idx="0">
                  <c:v>45.790347206617469</c:v>
                </c:pt>
                <c:pt idx="1">
                  <c:v>80.464761420566134</c:v>
                </c:pt>
                <c:pt idx="2">
                  <c:v>73.69633703252434</c:v>
                </c:pt>
              </c:numCache>
            </c:numRef>
          </c:val>
          <c:extLst>
            <c:ext xmlns:c16="http://schemas.microsoft.com/office/drawing/2014/chart" uri="{C3380CC4-5D6E-409C-BE32-E72D297353CC}">
              <c16:uniqueId val="{00000000-ADB6-4C41-9997-69FEE28EECD6}"/>
            </c:ext>
          </c:extLst>
        </c:ser>
        <c:ser>
          <c:idx val="1"/>
          <c:order val="1"/>
          <c:tx>
            <c:strRef>
              <c:f>'08_Dashboard'!$D$22</c:f>
              <c:strCache>
                <c:ptCount val="1"/>
                <c:pt idx="0">
                  <c:v>DIO</c:v>
                </c:pt>
              </c:strCache>
            </c:strRef>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'08_Dashboard'!$D$23:$D$25</c:f>
              <c:numCache>
                <c:formatCode>#,##0.0;\(#,##0.0\);\-</c:formatCode>
                <c:ptCount val="3"/>
                <c:pt idx="0">
                  <c:v>43.725015443057039</c:v>
                </c:pt>
                <c:pt idx="1">
                  <c:v>37.424831679004171</c:v>
                </c:pt>
                <c:pt idx="2">
                  <c:v>38.95156414300736</c:v>
                </c:pt>
              </c:numCache>
            </c:numRef>
          </c:val>
          <c:extLst>
            <c:ext xmlns:c16="http://schemas.microsoft.com/office/drawing/2014/chart" uri="{C3380CC4-5D6E-409C-BE32-E72D297353CC}">
              <c16:uniqueId val="{00000001-ADB6-4C41-9997-69FEE28EECD6}"/>
            </c:ext>
          </c:extLst>
        </c:ser>
        <c:ser>
          <c:idx val="2"/>
          <c:order val="2"/>
          <c:tx>
            <c:strRef>
              <c:f>'08_Dashboard'!$E$22</c:f>
              <c:strCache>
                <c:ptCount val="1"/>
                <c:pt idx="0">
                  <c:v>DPO</c:v>
                </c:pt>
              </c:strCache>
            </c:strRef>
          </c:tx>
          <c:spPr>
            <a:solidFill>
              <a:srgbClr val="D8AAA9"/>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'08_Dashboard'!$B$23:$B$25</c:f>
              <c:strCache>
                <c:ptCount val="3"/>
                <c:pt idx="0">
                  <c:v>Nhua Ha Noi</c:v>
                </c:pt>
                <c:pt idx="1">
                  <c:v>SKP Resources Bhd</c:v>
                </c:pt>
                <c:pt idx="2">
                  <c:v>Sanko Gosei Ltd</c:v>
                </c:pt>
              </c:strCache>
            </c:strRef>
          </c:cat>
          <c:val>
            <c:numRef>
              <c:f>'08_Dashboard'!$E$23:$E$25</c:f>
              <c:numCache>
                <c:formatCode>#,##0.0;\(#,##0.0\);\-</c:formatCode>
                <c:ptCount val="3"/>
                <c:pt idx="0">
                  <c:v>32.014684532184937</c:v>
                </c:pt>
                <c:pt idx="1">
                  <c:v>63.210741816953117</c:v>
                </c:pt>
                <c:pt idx="2">
                  <c:v>57.331098843322813</c:v>
                </c:pt>
              </c:numCache>
            </c:numRef>
          </c:val>
          <c:extLst>
            <c:ext xmlns:c16="http://schemas.microsoft.com/office/drawing/2014/chart" uri="{C3380CC4-5D6E-409C-BE32-E72D297353CC}">
              <c16:uniqueId val="{00000002-ADB6-4C41-9997-69FEE28EECD6}"/>
            </c:ext>
          </c:extLst>
        </c:ser>
        <c:dLbls>
          <c:showLegendKey val="0"/>
          <c:showVal val="0"/>
          <c:showCatName val="0"/>
          <c:showSerName val="0"/>
          <c:showPercent val="0"/>
          <c:showBubbleSize val="0"/>
        </c:dLbls>
        <c:gapWidth val="150"/>
        <c:axId val="55444913"/>
        <c:axId val="86786978"/>
      </c:barChart>
      <c:catAx>
        <c:axId val="5544491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786978"/>
        <c:crosses val="autoZero"/>
        <c:auto val="1"/>
        <c:lblAlgn val="ctr"/>
        <c:lblOffset val="100"/>
        <c:noMultiLvlLbl val="0"/>
      </c:catAx>
      <c:valAx>
        <c:axId val="86786978"/>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Days</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4449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9</xdr:row>
      <xdr:rowOff>152280</xdr:rowOff>
    </xdr:from>
    <xdr:to>
      <xdr:col>15</xdr:col>
      <xdr:colOff>85320</xdr:colOff>
      <xdr:row>25</xdr:row>
      <xdr:rowOff>136080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124920</xdr:rowOff>
    </xdr:from>
    <xdr:to>
      <xdr:col>14</xdr:col>
      <xdr:colOff>85680</xdr:colOff>
      <xdr:row>40</xdr:row>
      <xdr:rowOff>173880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45</xdr:row>
      <xdr:rowOff>125280</xdr:rowOff>
    </xdr:from>
    <xdr:to>
      <xdr:col>14</xdr:col>
      <xdr:colOff>85680</xdr:colOff>
      <xdr:row>61</xdr:row>
      <xdr:rowOff>136080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1"/>
  <sheetViews>
    <sheetView showGridLines="0" tabSelected="1" zoomScaleNormal="100" workbookViewId="0">
      <selection activeCell="B12" sqref="B12"/>
    </sheetView>
  </sheetViews>
  <sheetFormatPr defaultColWidth="8.6640625" defaultRowHeight="14.25" x14ac:dyDescent="0.45"/>
  <cols>
    <col min="1" max="1" width="3" customWidth="1"/>
    <col min="2" max="2" width="26.06640625" customWidth="1"/>
    <col min="3" max="4" width="70.265625" customWidth="1"/>
    <col min="5" max="5" width="71.73046875" customWidth="1"/>
    <col min="6" max="6" width="25" customWidth="1"/>
    <col min="7" max="7" width="3" customWidth="1"/>
  </cols>
  <sheetData>
    <row r="2" spans="2:4" ht="35.25" customHeight="1" x14ac:dyDescent="0.45">
      <c r="B2" s="58" t="s">
        <v>0</v>
      </c>
      <c r="C2" s="58"/>
      <c r="D2" s="58"/>
    </row>
    <row r="3" spans="2:4" ht="14.25" customHeight="1" x14ac:dyDescent="0.45">
      <c r="B3" s="59"/>
      <c r="C3" s="59"/>
      <c r="D3" s="59"/>
    </row>
    <row r="4" spans="2:4" s="3" customFormat="1" ht="24.75" customHeight="1" x14ac:dyDescent="0.55000000000000004">
      <c r="B4" s="66" t="s">
        <v>1</v>
      </c>
      <c r="C4" s="60"/>
      <c r="D4" s="60"/>
    </row>
    <row r="5" spans="2:4" ht="15" customHeight="1" x14ac:dyDescent="0.45">
      <c r="B5" s="61"/>
      <c r="C5" s="59"/>
      <c r="D5" s="59"/>
    </row>
    <row r="6" spans="2:4" ht="15" customHeight="1" x14ac:dyDescent="0.45">
      <c r="B6" s="62" t="s">
        <v>2</v>
      </c>
      <c r="C6" s="59"/>
      <c r="D6" s="59"/>
    </row>
    <row r="7" spans="2:4" ht="15" customHeight="1" x14ac:dyDescent="0.45">
      <c r="B7" s="63" t="s">
        <v>3</v>
      </c>
      <c r="C7" s="63" t="s">
        <v>4</v>
      </c>
      <c r="D7" s="59"/>
    </row>
    <row r="8" spans="2:4" ht="15" customHeight="1" x14ac:dyDescent="0.45">
      <c r="B8" s="64" t="s">
        <v>5</v>
      </c>
      <c r="C8" s="65" t="s">
        <v>6</v>
      </c>
      <c r="D8" s="59"/>
    </row>
    <row r="9" spans="2:4" ht="15" customHeight="1" x14ac:dyDescent="0.45">
      <c r="B9" s="64" t="s">
        <v>7</v>
      </c>
      <c r="C9" s="65" t="s">
        <v>8</v>
      </c>
      <c r="D9" s="59"/>
    </row>
    <row r="10" spans="2:4" ht="25.5" customHeight="1" x14ac:dyDescent="0.45">
      <c r="B10" s="64" t="s">
        <v>9</v>
      </c>
      <c r="C10" s="65" t="s">
        <v>10</v>
      </c>
      <c r="D10" s="59"/>
    </row>
    <row r="11" spans="2:4" ht="25.5" customHeight="1" x14ac:dyDescent="0.45">
      <c r="B11" s="64" t="s">
        <v>11</v>
      </c>
      <c r="C11" s="65" t="s">
        <v>12</v>
      </c>
      <c r="D11" s="59"/>
    </row>
    <row r="12" spans="2:4" ht="15" customHeight="1" x14ac:dyDescent="0.45">
      <c r="B12" s="64" t="s">
        <v>13</v>
      </c>
      <c r="C12" s="65" t="s">
        <v>14</v>
      </c>
      <c r="D12" s="59"/>
    </row>
    <row r="13" spans="2:4" ht="15" customHeight="1" x14ac:dyDescent="0.45">
      <c r="B13" s="64" t="s">
        <v>15</v>
      </c>
      <c r="C13" s="65" t="s">
        <v>16</v>
      </c>
      <c r="D13" s="59"/>
    </row>
    <row r="14" spans="2:4" ht="23.25" customHeight="1" x14ac:dyDescent="0.45">
      <c r="B14" s="64" t="s">
        <v>17</v>
      </c>
      <c r="C14" s="65" t="s">
        <v>18</v>
      </c>
      <c r="D14" s="59"/>
    </row>
    <row r="15" spans="2:4" ht="15" customHeight="1" x14ac:dyDescent="0.45">
      <c r="B15" s="64" t="s">
        <v>19</v>
      </c>
      <c r="C15" s="65" t="s">
        <v>20</v>
      </c>
      <c r="D15" s="59"/>
    </row>
    <row r="16" spans="2:4" ht="15" customHeight="1" x14ac:dyDescent="0.45">
      <c r="B16" s="64" t="s">
        <v>21</v>
      </c>
      <c r="C16" s="65" t="s">
        <v>22</v>
      </c>
      <c r="D16" s="59"/>
    </row>
    <row r="17" spans="2:4" ht="15" customHeight="1" x14ac:dyDescent="0.45">
      <c r="B17" s="64" t="s">
        <v>23</v>
      </c>
      <c r="C17" s="65" t="s">
        <v>24</v>
      </c>
      <c r="D17" s="59"/>
    </row>
    <row r="18" spans="2:4" ht="15" customHeight="1" x14ac:dyDescent="0.45">
      <c r="B18" s="5"/>
      <c r="C18" s="6"/>
      <c r="D18" s="7"/>
    </row>
    <row r="20" spans="2:4" ht="15" customHeight="1" x14ac:dyDescent="0.45"/>
    <row r="21" spans="2:4" ht="15" customHeight="1" x14ac:dyDescent="0.45"/>
    <row r="22" spans="2:4" ht="15" customHeight="1" x14ac:dyDescent="0.45"/>
    <row r="23" spans="2:4" ht="15" customHeight="1" x14ac:dyDescent="0.45"/>
    <row r="24" spans="2:4" ht="15" customHeight="1" x14ac:dyDescent="0.45"/>
    <row r="25" spans="2:4" ht="15" customHeight="1" x14ac:dyDescent="0.45"/>
    <row r="26" spans="2:4" ht="15" customHeight="1" x14ac:dyDescent="0.45"/>
    <row r="27" spans="2:4" ht="15" customHeight="1" x14ac:dyDescent="0.45"/>
    <row r="28" spans="2:4" ht="15" customHeight="1" x14ac:dyDescent="0.45"/>
    <row r="29" spans="2:4" ht="15" customHeight="1" x14ac:dyDescent="0.45"/>
    <row r="31" spans="2:4" ht="15" customHeight="1" x14ac:dyDescent="0.45"/>
  </sheetData>
  <mergeCells count="1">
    <mergeCell ref="B2:D2"/>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26"/>
  <sheetViews>
    <sheetView showGridLines="0" zoomScaleNormal="100" workbookViewId="0">
      <pane xSplit="3" ySplit="4" topLeftCell="D5" activePane="bottomRight" state="frozen"/>
      <selection activeCell="D10" sqref="D10"/>
      <selection pane="topRight" activeCell="D10" sqref="D10"/>
      <selection pane="bottomLeft" activeCell="D10" sqref="D10"/>
      <selection pane="bottomRight" activeCell="F88" sqref="F88"/>
    </sheetView>
  </sheetViews>
  <sheetFormatPr defaultColWidth="8.6640625" defaultRowHeight="14.25" x14ac:dyDescent="0.45"/>
  <cols>
    <col min="1" max="1" width="3" customWidth="1"/>
    <col min="2" max="2" width="45" customWidth="1"/>
    <col min="3" max="3" width="8.265625" bestFit="1" customWidth="1"/>
    <col min="4" max="6" width="18.9296875" bestFit="1" customWidth="1"/>
    <col min="7" max="7" width="66.33203125" bestFit="1" customWidth="1"/>
    <col min="8" max="8" width="3" customWidth="1"/>
  </cols>
  <sheetData>
    <row r="2" spans="1:7" ht="18" customHeight="1" x14ac:dyDescent="0.45">
      <c r="B2" s="8" t="s">
        <v>25</v>
      </c>
    </row>
    <row r="3" spans="1:7" ht="23.25" customHeight="1" x14ac:dyDescent="0.45">
      <c r="B3" s="67" t="s">
        <v>698</v>
      </c>
    </row>
    <row r="5" spans="1:7" ht="14.25" customHeight="1" thickBot="1" x14ac:dyDescent="0.5">
      <c r="A5" s="4"/>
      <c r="B5" s="4" t="s">
        <v>26</v>
      </c>
      <c r="C5" s="10" t="s">
        <v>27</v>
      </c>
      <c r="D5" s="4" t="s">
        <v>28</v>
      </c>
      <c r="E5" s="4" t="s">
        <v>29</v>
      </c>
      <c r="F5" s="4" t="s">
        <v>30</v>
      </c>
      <c r="G5" s="73"/>
    </row>
    <row r="6" spans="1:7" ht="15" customHeight="1" x14ac:dyDescent="0.45">
      <c r="B6" s="71" t="s">
        <v>31</v>
      </c>
      <c r="C6" s="71"/>
      <c r="D6" s="71"/>
      <c r="E6" s="71"/>
      <c r="F6" s="71"/>
      <c r="G6" s="72"/>
    </row>
    <row r="7" spans="1:7" ht="15" customHeight="1" x14ac:dyDescent="0.45">
      <c r="B7" s="2" t="s">
        <v>32</v>
      </c>
      <c r="C7" s="11" t="s">
        <v>33</v>
      </c>
      <c r="D7" s="82">
        <v>833749782499</v>
      </c>
      <c r="E7" s="82">
        <v>835183275843</v>
      </c>
      <c r="F7" s="82">
        <v>1108594044712</v>
      </c>
      <c r="G7" s="9"/>
    </row>
    <row r="8" spans="1:7" ht="14.25" customHeight="1" x14ac:dyDescent="0.45">
      <c r="B8" s="12" t="s">
        <v>34</v>
      </c>
      <c r="C8" s="11" t="s">
        <v>35</v>
      </c>
      <c r="D8" s="83">
        <v>68340657663</v>
      </c>
      <c r="E8" s="83">
        <v>191950270642</v>
      </c>
      <c r="F8" s="83">
        <v>346419887547</v>
      </c>
      <c r="G8" s="51"/>
    </row>
    <row r="9" spans="1:7" ht="14.25" customHeight="1" x14ac:dyDescent="0.45">
      <c r="B9" s="12" t="s">
        <v>36</v>
      </c>
      <c r="C9" s="11" t="s">
        <v>37</v>
      </c>
      <c r="D9" s="83">
        <v>50790657663</v>
      </c>
      <c r="E9" s="83">
        <v>141391023267</v>
      </c>
      <c r="F9" s="83">
        <v>70123117547</v>
      </c>
      <c r="G9" s="51"/>
    </row>
    <row r="10" spans="1:7" ht="14.25" customHeight="1" x14ac:dyDescent="0.45">
      <c r="B10" s="12" t="s">
        <v>38</v>
      </c>
      <c r="C10" s="11" t="s">
        <v>39</v>
      </c>
      <c r="D10" s="83">
        <v>17550000000</v>
      </c>
      <c r="E10" s="83">
        <v>50559247375</v>
      </c>
      <c r="F10" s="83">
        <v>276296770000</v>
      </c>
      <c r="G10" s="51"/>
    </row>
    <row r="11" spans="1:7" ht="14.25" customHeight="1" x14ac:dyDescent="0.45">
      <c r="B11" s="12" t="s">
        <v>40</v>
      </c>
      <c r="C11" s="11" t="s">
        <v>41</v>
      </c>
      <c r="D11" s="83">
        <v>200192000000</v>
      </c>
      <c r="E11" s="83">
        <v>760062000</v>
      </c>
      <c r="F11" s="83">
        <v>119400000000</v>
      </c>
      <c r="G11" s="51"/>
    </row>
    <row r="12" spans="1:7" ht="14.25" customHeight="1" x14ac:dyDescent="0.45">
      <c r="B12" s="13" t="s">
        <v>42</v>
      </c>
      <c r="C12" s="11" t="s">
        <v>43</v>
      </c>
      <c r="D12" s="84">
        <v>294940405706</v>
      </c>
      <c r="E12" s="84">
        <v>378616624372</v>
      </c>
      <c r="F12" s="84">
        <v>336704878047</v>
      </c>
    </row>
    <row r="13" spans="1:7" ht="14.25" customHeight="1" x14ac:dyDescent="0.45">
      <c r="B13" s="12" t="s">
        <v>44</v>
      </c>
      <c r="C13" s="11" t="s">
        <v>45</v>
      </c>
      <c r="D13" s="83">
        <v>225698917511</v>
      </c>
      <c r="E13" s="83">
        <v>298853660085</v>
      </c>
      <c r="F13" s="83">
        <v>281041557777</v>
      </c>
      <c r="G13" s="51"/>
    </row>
    <row r="14" spans="1:7" ht="23.25" customHeight="1" x14ac:dyDescent="0.45">
      <c r="B14" s="12" t="s">
        <v>46</v>
      </c>
      <c r="C14" s="11" t="s">
        <v>47</v>
      </c>
      <c r="D14" s="82">
        <v>32932283075</v>
      </c>
      <c r="E14" s="82">
        <v>25921034452</v>
      </c>
      <c r="F14" s="82">
        <v>37330026835</v>
      </c>
      <c r="G14" s="9"/>
    </row>
    <row r="15" spans="1:7" ht="21.75" customHeight="1" x14ac:dyDescent="0.45">
      <c r="B15" s="12" t="s">
        <v>48</v>
      </c>
      <c r="C15" s="11" t="s">
        <v>49</v>
      </c>
      <c r="D15" s="82">
        <v>37912057096</v>
      </c>
      <c r="E15" s="82">
        <v>57480648816</v>
      </c>
      <c r="F15" s="82">
        <v>21972012416</v>
      </c>
      <c r="G15" s="9"/>
    </row>
    <row r="16" spans="1:7" ht="14.25" customHeight="1" x14ac:dyDescent="0.45">
      <c r="B16" s="12" t="s">
        <v>50</v>
      </c>
      <c r="C16" s="11" t="s">
        <v>51</v>
      </c>
      <c r="D16" s="83">
        <v>1602851976</v>
      </c>
      <c r="E16" s="83">
        <v>3638718981</v>
      </c>
      <c r="F16" s="83">
        <v>3638718981</v>
      </c>
      <c r="G16" s="51"/>
    </row>
    <row r="17" spans="2:7" ht="14.25" customHeight="1" x14ac:dyDescent="0.45">
      <c r="B17" s="13" t="s">
        <v>52</v>
      </c>
      <c r="C17" s="11" t="s">
        <v>53</v>
      </c>
      <c r="D17" s="84">
        <v>230582555144</v>
      </c>
      <c r="E17" s="84">
        <v>218749159456</v>
      </c>
      <c r="F17" s="84">
        <v>239364939489</v>
      </c>
    </row>
    <row r="18" spans="2:7" ht="14.25" customHeight="1" x14ac:dyDescent="0.45">
      <c r="B18" s="12" t="s">
        <v>54</v>
      </c>
      <c r="C18" s="11" t="s">
        <v>55</v>
      </c>
      <c r="D18" s="83">
        <v>110619487264</v>
      </c>
      <c r="E18" s="83">
        <v>109617529820</v>
      </c>
      <c r="F18" s="83">
        <v>109141860273</v>
      </c>
      <c r="G18" s="51"/>
    </row>
    <row r="19" spans="2:7" ht="14.25" customHeight="1" x14ac:dyDescent="0.45">
      <c r="B19" s="12" t="s">
        <v>56</v>
      </c>
      <c r="C19" s="11" t="s">
        <v>57</v>
      </c>
      <c r="D19" s="83">
        <v>9170699576</v>
      </c>
      <c r="E19" s="83">
        <v>11493365979</v>
      </c>
      <c r="F19" s="83">
        <v>14868316797</v>
      </c>
      <c r="G19" s="51"/>
    </row>
    <row r="20" spans="2:7" ht="14.25" customHeight="1" x14ac:dyDescent="0.45">
      <c r="B20" s="12" t="s">
        <v>58</v>
      </c>
      <c r="C20" s="11" t="s">
        <v>59</v>
      </c>
      <c r="D20" s="83">
        <v>49989085832</v>
      </c>
      <c r="E20" s="83">
        <v>46501449750</v>
      </c>
      <c r="F20" s="83">
        <v>55423165622</v>
      </c>
      <c r="G20" s="51"/>
    </row>
    <row r="21" spans="2:7" ht="14.25" customHeight="1" x14ac:dyDescent="0.45">
      <c r="B21" s="12" t="s">
        <v>60</v>
      </c>
      <c r="C21" s="11" t="s">
        <v>61</v>
      </c>
      <c r="D21" s="83">
        <v>60251021462</v>
      </c>
      <c r="E21" s="83">
        <v>49413042824</v>
      </c>
      <c r="F21" s="83">
        <v>58450225920</v>
      </c>
      <c r="G21" s="51"/>
    </row>
    <row r="22" spans="2:7" ht="21.75" customHeight="1" x14ac:dyDescent="0.45">
      <c r="B22" s="12" t="s">
        <v>62</v>
      </c>
      <c r="C22" s="11" t="s">
        <v>63</v>
      </c>
      <c r="D22" s="82">
        <v>3217005722</v>
      </c>
      <c r="E22" s="82">
        <v>3267136852</v>
      </c>
      <c r="F22" s="82">
        <v>3629854683</v>
      </c>
      <c r="G22" s="9"/>
    </row>
    <row r="23" spans="2:7" ht="14.25" customHeight="1" x14ac:dyDescent="0.45">
      <c r="B23" s="12" t="s">
        <v>64</v>
      </c>
      <c r="C23" s="11" t="s">
        <v>65</v>
      </c>
      <c r="D23" s="83">
        <v>2664744712</v>
      </c>
      <c r="E23" s="83">
        <v>1543365769</v>
      </c>
      <c r="F23" s="83">
        <v>2148483806</v>
      </c>
      <c r="G23" s="51"/>
    </row>
    <row r="24" spans="2:7" ht="14.25" customHeight="1" x14ac:dyDescent="0.45">
      <c r="B24" s="12" t="s">
        <v>66</v>
      </c>
      <c r="C24" s="11" t="s">
        <v>67</v>
      </c>
      <c r="D24" s="83">
        <v>39694163986</v>
      </c>
      <c r="E24" s="83">
        <v>45107159373</v>
      </c>
      <c r="F24" s="83">
        <v>66704339629</v>
      </c>
      <c r="G24" s="51"/>
    </row>
    <row r="25" spans="2:7" ht="15" customHeight="1" x14ac:dyDescent="0.45">
      <c r="B25" s="2" t="s">
        <v>68</v>
      </c>
      <c r="C25" s="11" t="s">
        <v>69</v>
      </c>
      <c r="D25" s="82">
        <v>1242880047090</v>
      </c>
      <c r="E25" s="82">
        <v>1095047863503</v>
      </c>
      <c r="F25" s="82">
        <v>1420606215750</v>
      </c>
      <c r="G25" s="9"/>
    </row>
    <row r="26" spans="2:7" ht="14.25" customHeight="1" x14ac:dyDescent="0.45">
      <c r="B26" s="12" t="s">
        <v>70</v>
      </c>
      <c r="C26" s="11" t="s">
        <v>71</v>
      </c>
      <c r="D26" s="83">
        <v>798732153906</v>
      </c>
      <c r="E26" s="83">
        <v>828896685347</v>
      </c>
      <c r="F26" s="83">
        <v>890389773268</v>
      </c>
      <c r="G26" s="51"/>
    </row>
    <row r="27" spans="2:7" ht="14.25" customHeight="1" x14ac:dyDescent="0.45">
      <c r="B27" s="12" t="s">
        <v>72</v>
      </c>
      <c r="C27" s="11" t="s">
        <v>73</v>
      </c>
      <c r="D27" s="83">
        <f>1508242011291+80861261462+16211789411</f>
        <v>1605315062164</v>
      </c>
      <c r="E27" s="83">
        <f>1638307185351+69632760488+17164966365</f>
        <v>1725104912204</v>
      </c>
      <c r="F27" s="83">
        <f>1817746990805+40976150806+17649966365</f>
        <v>1876373107976</v>
      </c>
      <c r="G27" s="51"/>
    </row>
    <row r="28" spans="2:7" ht="14.25" customHeight="1" x14ac:dyDescent="0.45">
      <c r="B28" s="12" t="s">
        <v>74</v>
      </c>
      <c r="C28" s="11" t="s">
        <v>75</v>
      </c>
      <c r="D28" s="83">
        <f>784786741867+12229433796+9566732595</f>
        <v>806582908258</v>
      </c>
      <c r="E28" s="83">
        <f>873652935714+12824054943+9731236200</f>
        <v>896208226857</v>
      </c>
      <c r="F28" s="83">
        <f>965248776530+8308587940+12425970238</f>
        <v>985983334708</v>
      </c>
      <c r="G28" s="51"/>
    </row>
    <row r="29" spans="2:7" ht="32.25" customHeight="1" x14ac:dyDescent="0.45">
      <c r="B29" s="12" t="s">
        <v>76</v>
      </c>
      <c r="C29" s="11" t="s">
        <v>77</v>
      </c>
      <c r="D29" s="82">
        <v>7266648143</v>
      </c>
      <c r="E29" s="82">
        <v>6621174710</v>
      </c>
      <c r="F29" s="82">
        <v>284677722914</v>
      </c>
      <c r="G29" s="9"/>
    </row>
    <row r="30" spans="2:7" ht="14.25" customHeight="1" x14ac:dyDescent="0.45">
      <c r="B30" s="12" t="s">
        <v>78</v>
      </c>
      <c r="C30" s="11" t="s">
        <v>79</v>
      </c>
      <c r="D30" s="83">
        <v>299132386348</v>
      </c>
      <c r="E30" s="83">
        <v>117453931611</v>
      </c>
      <c r="F30" s="83">
        <v>58184439385</v>
      </c>
      <c r="G30" s="51"/>
    </row>
    <row r="31" spans="2:7" ht="14.25" customHeight="1" x14ac:dyDescent="0.45">
      <c r="B31" s="12" t="s">
        <v>80</v>
      </c>
      <c r="C31" s="11" t="s">
        <v>81</v>
      </c>
      <c r="D31" s="83">
        <v>137748858693</v>
      </c>
      <c r="E31" s="83">
        <v>142076071835</v>
      </c>
      <c r="F31" s="83">
        <v>187354280183</v>
      </c>
      <c r="G31" s="51"/>
    </row>
    <row r="32" spans="2:7" ht="14.25" customHeight="1" x14ac:dyDescent="0.45">
      <c r="B32" s="14" t="s">
        <v>82</v>
      </c>
      <c r="C32" s="15" t="s">
        <v>83</v>
      </c>
      <c r="D32" s="85">
        <v>2076629829589</v>
      </c>
      <c r="E32" s="85">
        <v>1930231139346</v>
      </c>
      <c r="F32" s="85">
        <v>2529200260462</v>
      </c>
      <c r="G32" s="70"/>
    </row>
    <row r="34" spans="2:7" ht="15" customHeight="1" x14ac:dyDescent="0.45">
      <c r="B34" s="2" t="s">
        <v>84</v>
      </c>
      <c r="C34" s="11" t="s">
        <v>85</v>
      </c>
      <c r="D34" s="82">
        <v>703411896251</v>
      </c>
      <c r="E34" s="82">
        <v>573685486036</v>
      </c>
      <c r="F34" s="82">
        <v>703597445053</v>
      </c>
      <c r="G34" s="9"/>
    </row>
    <row r="35" spans="2:7" ht="21.75" customHeight="1" x14ac:dyDescent="0.45">
      <c r="B35" s="13" t="s">
        <v>86</v>
      </c>
      <c r="C35" s="11" t="s">
        <v>87</v>
      </c>
      <c r="D35" s="82">
        <v>666286577823</v>
      </c>
      <c r="E35" s="82">
        <v>511697586717</v>
      </c>
      <c r="F35" s="82">
        <v>608751653213</v>
      </c>
      <c r="G35" s="9"/>
    </row>
    <row r="36" spans="2:7" ht="14.25" customHeight="1" x14ac:dyDescent="0.45">
      <c r="B36" s="12" t="s">
        <v>88</v>
      </c>
      <c r="C36" s="11" t="s">
        <v>89</v>
      </c>
      <c r="D36" s="83">
        <v>126460714750</v>
      </c>
      <c r="E36" s="83">
        <v>151502988335</v>
      </c>
      <c r="F36" s="83">
        <v>183920068898</v>
      </c>
      <c r="G36" s="51"/>
    </row>
    <row r="37" spans="2:7" ht="23.25" customHeight="1" x14ac:dyDescent="0.45">
      <c r="B37" s="12" t="s">
        <v>90</v>
      </c>
      <c r="C37" s="11" t="s">
        <v>91</v>
      </c>
      <c r="D37" s="83">
        <v>20890314563</v>
      </c>
      <c r="E37" s="83">
        <v>11074253824</v>
      </c>
      <c r="F37" s="83">
        <v>35223524344</v>
      </c>
      <c r="G37" s="51"/>
    </row>
    <row r="38" spans="2:7" ht="14.25" customHeight="1" x14ac:dyDescent="0.45">
      <c r="B38" s="12" t="s">
        <v>92</v>
      </c>
      <c r="C38" s="11" t="s">
        <v>93</v>
      </c>
      <c r="D38" s="83">
        <v>9476493621</v>
      </c>
      <c r="E38" s="83">
        <v>19713181099</v>
      </c>
      <c r="F38" s="83">
        <v>28650748806</v>
      </c>
      <c r="G38" s="51"/>
    </row>
    <row r="39" spans="2:7" ht="14.25" customHeight="1" x14ac:dyDescent="0.45">
      <c r="B39" s="12" t="s">
        <v>94</v>
      </c>
      <c r="C39" s="11" t="s">
        <v>95</v>
      </c>
      <c r="D39" s="83">
        <v>22163048875</v>
      </c>
      <c r="E39" s="83">
        <v>25057547792</v>
      </c>
      <c r="F39" s="83">
        <v>25134675997</v>
      </c>
      <c r="G39" s="51"/>
    </row>
    <row r="40" spans="2:7" ht="14.25" customHeight="1" x14ac:dyDescent="0.45">
      <c r="B40" s="12" t="s">
        <v>96</v>
      </c>
      <c r="C40" s="11" t="s">
        <v>97</v>
      </c>
      <c r="D40" s="83">
        <v>24260845667</v>
      </c>
      <c r="E40" s="83">
        <v>29760842941</v>
      </c>
      <c r="F40" s="83">
        <v>39249725925</v>
      </c>
      <c r="G40" s="51"/>
    </row>
    <row r="41" spans="2:7" ht="14.25" customHeight="1" x14ac:dyDescent="0.45">
      <c r="B41" s="12" t="s">
        <v>98</v>
      </c>
      <c r="C41" s="11" t="s">
        <v>99</v>
      </c>
      <c r="D41" s="83">
        <v>448650974237</v>
      </c>
      <c r="E41" s="83">
        <v>244959596102</v>
      </c>
      <c r="F41" s="83">
        <v>235224392726</v>
      </c>
      <c r="G41" s="51"/>
    </row>
    <row r="42" spans="2:7" ht="21.75" customHeight="1" x14ac:dyDescent="0.45">
      <c r="B42" s="12" t="s">
        <v>100</v>
      </c>
      <c r="C42" s="11" t="s">
        <v>101</v>
      </c>
      <c r="D42" s="82">
        <v>14384186110</v>
      </c>
      <c r="E42" s="82">
        <v>29629176624</v>
      </c>
      <c r="F42" s="82">
        <v>61348516517</v>
      </c>
      <c r="G42" s="9"/>
    </row>
    <row r="43" spans="2:7" ht="14.25" customHeight="1" x14ac:dyDescent="0.45">
      <c r="B43" s="13" t="s">
        <v>102</v>
      </c>
      <c r="C43" s="11" t="s">
        <v>103</v>
      </c>
      <c r="D43" s="84">
        <v>37125318428</v>
      </c>
      <c r="E43" s="84">
        <v>61987899319</v>
      </c>
      <c r="F43" s="84">
        <v>94845791840</v>
      </c>
    </row>
    <row r="44" spans="2:7" ht="14.25" customHeight="1" x14ac:dyDescent="0.45">
      <c r="B44" s="12" t="s">
        <v>104</v>
      </c>
      <c r="C44" s="11" t="s">
        <v>105</v>
      </c>
      <c r="D44" s="83">
        <v>37125318428</v>
      </c>
      <c r="E44" s="83">
        <v>61987899319</v>
      </c>
      <c r="F44" s="83">
        <v>94845791840</v>
      </c>
      <c r="G44" s="51"/>
    </row>
    <row r="45" spans="2:7" ht="21.75" customHeight="1" x14ac:dyDescent="0.45">
      <c r="B45" s="12" t="s">
        <v>106</v>
      </c>
      <c r="C45" s="11" t="s">
        <v>107</v>
      </c>
      <c r="D45" s="82">
        <v>23992946764</v>
      </c>
      <c r="E45" s="82">
        <v>820319716</v>
      </c>
      <c r="F45" s="82">
        <v>876783432</v>
      </c>
      <c r="G45" s="9"/>
    </row>
    <row r="46" spans="2:7" ht="15" customHeight="1" x14ac:dyDescent="0.45">
      <c r="B46" s="2" t="s">
        <v>108</v>
      </c>
      <c r="C46" s="11" t="s">
        <v>109</v>
      </c>
      <c r="D46" s="82">
        <v>1373217933338</v>
      </c>
      <c r="E46" s="82">
        <v>1356545653310</v>
      </c>
      <c r="F46" s="82">
        <v>1825602815409</v>
      </c>
      <c r="G46" s="9"/>
    </row>
    <row r="47" spans="2:7" ht="14.25" customHeight="1" x14ac:dyDescent="0.45">
      <c r="B47" s="12" t="s">
        <v>110</v>
      </c>
      <c r="C47" s="11" t="s">
        <v>111</v>
      </c>
      <c r="D47" s="83">
        <v>728800000000</v>
      </c>
      <c r="E47" s="83">
        <v>728800000000</v>
      </c>
      <c r="F47" s="83">
        <v>1129640000000</v>
      </c>
      <c r="G47" s="51"/>
    </row>
    <row r="48" spans="2:7" ht="14.25" customHeight="1" x14ac:dyDescent="0.45">
      <c r="B48" s="12" t="s">
        <v>112</v>
      </c>
      <c r="C48" s="11" t="s">
        <v>113</v>
      </c>
      <c r="D48" s="83">
        <v>327962683602</v>
      </c>
      <c r="E48" s="83">
        <v>327962683602</v>
      </c>
      <c r="F48" s="83">
        <v>327517083602</v>
      </c>
      <c r="G48" s="51"/>
    </row>
    <row r="49" spans="2:7" ht="14.25" customHeight="1" x14ac:dyDescent="0.45">
      <c r="B49" s="12" t="s">
        <v>114</v>
      </c>
      <c r="C49" s="11" t="s">
        <v>115</v>
      </c>
      <c r="D49" s="83">
        <v>279045243670</v>
      </c>
      <c r="E49" s="83">
        <v>285545590690</v>
      </c>
      <c r="F49" s="83">
        <v>354151889073</v>
      </c>
      <c r="G49" s="51"/>
    </row>
    <row r="50" spans="2:7" ht="14.25" customHeight="1" x14ac:dyDescent="0.45">
      <c r="B50" s="12" t="s">
        <v>116</v>
      </c>
      <c r="C50" s="11" t="s">
        <v>117</v>
      </c>
      <c r="D50" s="83">
        <v>13417059302</v>
      </c>
      <c r="E50" s="83">
        <v>13417059302</v>
      </c>
      <c r="F50" s="83">
        <v>13417059302</v>
      </c>
      <c r="G50" s="51"/>
    </row>
    <row r="51" spans="2:7" ht="14.25" customHeight="1" thickBot="1" x14ac:dyDescent="0.5">
      <c r="B51" s="14" t="s">
        <v>118</v>
      </c>
      <c r="C51" s="15" t="s">
        <v>119</v>
      </c>
      <c r="D51" s="85">
        <v>2076629829589</v>
      </c>
      <c r="E51" s="85">
        <v>1930231139346</v>
      </c>
      <c r="F51" s="85">
        <v>2529200260462</v>
      </c>
      <c r="G51" s="70"/>
    </row>
    <row r="52" spans="2:7" ht="14.25" customHeight="1" thickTop="1" x14ac:dyDescent="0.45">
      <c r="B52" s="9" t="s">
        <v>120</v>
      </c>
      <c r="D52" s="68">
        <f>D32-D51</f>
        <v>0</v>
      </c>
      <c r="E52" s="68">
        <f>E32-E51</f>
        <v>0</v>
      </c>
      <c r="F52" s="68">
        <f>F32-F51</f>
        <v>0</v>
      </c>
      <c r="G52" s="9"/>
    </row>
    <row r="55" spans="2:7" ht="15" customHeight="1" x14ac:dyDescent="0.45">
      <c r="B55" s="55" t="s">
        <v>121</v>
      </c>
      <c r="C55" s="55"/>
      <c r="D55" s="55"/>
      <c r="E55" s="55"/>
      <c r="F55" s="55"/>
      <c r="G55" s="55"/>
    </row>
    <row r="56" spans="2:7" ht="14.25" customHeight="1" x14ac:dyDescent="0.45">
      <c r="B56" s="12" t="s">
        <v>122</v>
      </c>
      <c r="C56" s="11" t="s">
        <v>123</v>
      </c>
      <c r="D56" s="83">
        <v>2040961680650</v>
      </c>
      <c r="E56" s="83">
        <v>2098726472452</v>
      </c>
      <c r="F56" s="83">
        <v>2313527757468</v>
      </c>
      <c r="G56" s="51"/>
    </row>
    <row r="57" spans="2:7" ht="14.25" customHeight="1" x14ac:dyDescent="0.45">
      <c r="B57" s="12" t="s">
        <v>124</v>
      </c>
      <c r="C57" s="11" t="s">
        <v>125</v>
      </c>
      <c r="D57" s="83">
        <v>1676922497</v>
      </c>
      <c r="E57" s="83">
        <v>1821019812</v>
      </c>
      <c r="F57" s="83">
        <v>2322804549</v>
      </c>
      <c r="G57" s="51"/>
    </row>
    <row r="58" spans="2:7" ht="14.25" customHeight="1" x14ac:dyDescent="0.45">
      <c r="B58" s="13" t="s">
        <v>126</v>
      </c>
      <c r="C58" s="11" t="s">
        <v>127</v>
      </c>
      <c r="D58" s="86">
        <v>2039284758153</v>
      </c>
      <c r="E58" s="86">
        <v>2096905452640</v>
      </c>
      <c r="F58" s="86">
        <v>2311204952919</v>
      </c>
      <c r="G58" s="9"/>
    </row>
    <row r="59" spans="2:7" ht="14.25" customHeight="1" x14ac:dyDescent="0.45">
      <c r="B59" s="12" t="s">
        <v>128</v>
      </c>
      <c r="C59" s="11" t="s">
        <v>129</v>
      </c>
      <c r="D59" s="83">
        <v>1736658116472</v>
      </c>
      <c r="E59" s="83">
        <v>1706260890180</v>
      </c>
      <c r="F59" s="83">
        <v>1912082184770</v>
      </c>
      <c r="G59" s="51"/>
    </row>
    <row r="60" spans="2:7" ht="14.25" customHeight="1" x14ac:dyDescent="0.45">
      <c r="B60" s="13" t="s">
        <v>130</v>
      </c>
      <c r="C60" s="11" t="s">
        <v>131</v>
      </c>
      <c r="D60" s="86">
        <v>302626641681</v>
      </c>
      <c r="E60" s="86">
        <v>390644562460</v>
      </c>
      <c r="F60" s="86">
        <v>399122768149</v>
      </c>
      <c r="G60" s="9"/>
    </row>
    <row r="61" spans="2:7" ht="14.25" customHeight="1" x14ac:dyDescent="0.45">
      <c r="B61" s="12" t="s">
        <v>132</v>
      </c>
      <c r="C61" s="11" t="s">
        <v>133</v>
      </c>
      <c r="D61" s="83">
        <v>36269307014</v>
      </c>
      <c r="E61" s="83">
        <v>32026200197</v>
      </c>
      <c r="F61" s="83">
        <v>35058145517</v>
      </c>
      <c r="G61" s="51"/>
    </row>
    <row r="62" spans="2:7" ht="14.25" customHeight="1" x14ac:dyDescent="0.45">
      <c r="B62" s="12" t="s">
        <v>134</v>
      </c>
      <c r="C62" s="11" t="s">
        <v>135</v>
      </c>
      <c r="D62" s="83">
        <v>50164360653</v>
      </c>
      <c r="E62" s="83">
        <v>32499247742</v>
      </c>
      <c r="F62" s="83">
        <v>37141382228</v>
      </c>
      <c r="G62" s="51"/>
    </row>
    <row r="63" spans="2:7" ht="14.25" customHeight="1" x14ac:dyDescent="0.45">
      <c r="B63" s="12" t="s">
        <v>136</v>
      </c>
      <c r="C63" s="11" t="s">
        <v>137</v>
      </c>
      <c r="D63" s="83">
        <v>45942326390</v>
      </c>
      <c r="E63" s="83">
        <v>21203575185</v>
      </c>
      <c r="F63" s="83">
        <v>16100394821</v>
      </c>
      <c r="G63" s="51"/>
    </row>
    <row r="64" spans="2:7" ht="14.25" customHeight="1" x14ac:dyDescent="0.45">
      <c r="B64" s="12" t="s">
        <v>138</v>
      </c>
      <c r="C64" s="11" t="s">
        <v>139</v>
      </c>
      <c r="D64" s="83">
        <v>92582404275</v>
      </c>
      <c r="E64" s="83">
        <v>129255674644</v>
      </c>
      <c r="F64" s="83">
        <v>133870768647</v>
      </c>
      <c r="G64" s="51"/>
    </row>
    <row r="65" spans="2:7" ht="14.25" customHeight="1" x14ac:dyDescent="0.45">
      <c r="B65" s="12" t="s">
        <v>140</v>
      </c>
      <c r="C65" s="11" t="s">
        <v>141</v>
      </c>
      <c r="D65" s="83">
        <v>73591545890</v>
      </c>
      <c r="E65" s="83">
        <v>83243116647</v>
      </c>
      <c r="F65" s="83">
        <v>100811309874</v>
      </c>
      <c r="G65" s="51"/>
    </row>
    <row r="66" spans="2:7" ht="14.25" customHeight="1" x14ac:dyDescent="0.45">
      <c r="B66" s="13" t="s">
        <v>142</v>
      </c>
      <c r="C66" s="11" t="s">
        <v>143</v>
      </c>
      <c r="D66" s="86">
        <v>117070651554</v>
      </c>
      <c r="E66" s="86">
        <v>112348581626</v>
      </c>
      <c r="F66" s="86">
        <v>161010452347</v>
      </c>
      <c r="G66" s="9"/>
    </row>
    <row r="67" spans="2:7" ht="14.25" customHeight="1" x14ac:dyDescent="0.45">
      <c r="B67" s="12" t="s">
        <v>144</v>
      </c>
      <c r="C67" s="11" t="s">
        <v>145</v>
      </c>
      <c r="D67" s="83">
        <v>5088405237</v>
      </c>
      <c r="E67" s="83">
        <v>3336091731</v>
      </c>
      <c r="F67" s="83">
        <v>5917485478</v>
      </c>
      <c r="G67" s="51"/>
    </row>
    <row r="68" spans="2:7" ht="14.25" customHeight="1" x14ac:dyDescent="0.45">
      <c r="B68" s="12" t="s">
        <v>146</v>
      </c>
      <c r="C68" s="11" t="s">
        <v>147</v>
      </c>
      <c r="D68" s="83">
        <v>1615814325</v>
      </c>
      <c r="E68" s="83">
        <v>4214133837</v>
      </c>
      <c r="F68" s="83">
        <v>5044099532</v>
      </c>
      <c r="G68" s="51"/>
    </row>
    <row r="69" spans="2:7" ht="14.25" customHeight="1" x14ac:dyDescent="0.45">
      <c r="B69" s="13" t="s">
        <v>148</v>
      </c>
      <c r="C69" s="11" t="s">
        <v>149</v>
      </c>
      <c r="D69" s="86">
        <v>120543242466</v>
      </c>
      <c r="E69" s="86">
        <v>111470539520</v>
      </c>
      <c r="F69" s="86">
        <v>161883838293</v>
      </c>
      <c r="G69" s="9"/>
    </row>
    <row r="70" spans="2:7" ht="32.25" customHeight="1" x14ac:dyDescent="0.45">
      <c r="B70" s="12" t="s">
        <v>150</v>
      </c>
      <c r="C70" s="11" t="s">
        <v>151</v>
      </c>
      <c r="D70" s="82">
        <v>24299989429</v>
      </c>
      <c r="E70" s="82">
        <v>23615836329</v>
      </c>
      <c r="F70" s="82">
        <v>42255969091</v>
      </c>
      <c r="G70" s="9"/>
    </row>
    <row r="71" spans="2:7" ht="14.25" customHeight="1" x14ac:dyDescent="0.45">
      <c r="B71" s="13" t="s">
        <v>152</v>
      </c>
      <c r="C71" s="11" t="s">
        <v>153</v>
      </c>
      <c r="D71" s="86">
        <v>96243253037</v>
      </c>
      <c r="E71" s="86">
        <v>87854703191</v>
      </c>
      <c r="F71" s="86">
        <v>119627869202</v>
      </c>
      <c r="G71" s="9"/>
    </row>
    <row r="72" spans="2:7" ht="32.25" customHeight="1" x14ac:dyDescent="0.45">
      <c r="B72" s="12" t="s">
        <v>154</v>
      </c>
      <c r="C72" s="11" t="s">
        <v>155</v>
      </c>
      <c r="D72" s="82">
        <v>5486986323</v>
      </c>
      <c r="E72" s="82">
        <v>65324141998</v>
      </c>
      <c r="F72" s="82">
        <v>1347000570</v>
      </c>
      <c r="G72" s="9"/>
    </row>
    <row r="73" spans="2:7" ht="14.25" customHeight="1" x14ac:dyDescent="0.45">
      <c r="B73" s="12" t="s">
        <v>156</v>
      </c>
      <c r="C73" s="11" t="s">
        <v>157</v>
      </c>
      <c r="D73" s="83">
        <v>110772493394</v>
      </c>
      <c r="E73" s="83">
        <v>107615606434</v>
      </c>
      <c r="F73" s="83">
        <v>115911638400</v>
      </c>
      <c r="G73" s="51"/>
    </row>
    <row r="74" spans="2:7" ht="14.25" customHeight="1" x14ac:dyDescent="0.45">
      <c r="B74" s="13" t="s">
        <v>158</v>
      </c>
      <c r="C74" s="11" t="s">
        <v>159</v>
      </c>
      <c r="D74" s="86">
        <f>D66+D73</f>
        <v>227843144948</v>
      </c>
      <c r="E74" s="86">
        <f>E66+E73</f>
        <v>219964188060</v>
      </c>
      <c r="F74" s="86">
        <f>F66+F73</f>
        <v>276922090747</v>
      </c>
      <c r="G74" s="9"/>
    </row>
    <row r="77" spans="2:7" ht="15" customHeight="1" x14ac:dyDescent="0.45">
      <c r="B77" s="55" t="s">
        <v>160</v>
      </c>
      <c r="C77" s="55"/>
      <c r="D77" s="55"/>
      <c r="E77" s="55"/>
      <c r="F77" s="55"/>
      <c r="G77" s="55"/>
    </row>
    <row r="78" spans="2:7" ht="15" customHeight="1" x14ac:dyDescent="0.45">
      <c r="B78" s="54" t="s">
        <v>161</v>
      </c>
      <c r="C78" s="54"/>
      <c r="D78" s="54"/>
      <c r="E78" s="54"/>
      <c r="F78" s="54"/>
      <c r="G78" s="54"/>
    </row>
    <row r="79" spans="2:7" ht="14.25" customHeight="1" x14ac:dyDescent="0.45">
      <c r="B79" s="12" t="s">
        <v>162</v>
      </c>
      <c r="C79" s="11" t="s">
        <v>163</v>
      </c>
      <c r="D79" s="82">
        <v>120543242466</v>
      </c>
      <c r="E79" s="82">
        <v>111470539520</v>
      </c>
      <c r="F79" s="82">
        <v>161883838293</v>
      </c>
      <c r="G79" s="9"/>
    </row>
    <row r="80" spans="2:7" ht="14.25" customHeight="1" x14ac:dyDescent="0.45">
      <c r="B80" s="12" t="s">
        <v>164</v>
      </c>
      <c r="C80" s="11" t="s">
        <v>165</v>
      </c>
      <c r="D80" s="82">
        <v>110772493394</v>
      </c>
      <c r="E80" s="82">
        <v>107615606434</v>
      </c>
      <c r="F80" s="82">
        <v>115911638400</v>
      </c>
      <c r="G80" s="9"/>
    </row>
    <row r="81" spans="2:7" ht="14.25" customHeight="1" x14ac:dyDescent="0.45">
      <c r="B81" s="12" t="s">
        <v>166</v>
      </c>
      <c r="C81" s="11" t="s">
        <v>167</v>
      </c>
      <c r="D81" s="82">
        <v>-363806619</v>
      </c>
      <c r="E81" s="82">
        <v>914488062</v>
      </c>
      <c r="F81" s="82">
        <v>605118037</v>
      </c>
      <c r="G81" s="9"/>
    </row>
    <row r="82" spans="2:7" ht="14.25" customHeight="1" x14ac:dyDescent="0.45">
      <c r="B82" s="12" t="s">
        <v>168</v>
      </c>
      <c r="C82" s="11" t="s">
        <v>169</v>
      </c>
      <c r="D82" s="82">
        <v>-450056865</v>
      </c>
      <c r="E82" s="82">
        <v>-265444275</v>
      </c>
      <c r="F82" s="82">
        <v>26349736</v>
      </c>
      <c r="G82" s="9"/>
    </row>
    <row r="83" spans="2:7" ht="14.25" customHeight="1" x14ac:dyDescent="0.45">
      <c r="B83" s="12" t="s">
        <v>170</v>
      </c>
      <c r="C83" s="11" t="s">
        <v>171</v>
      </c>
      <c r="D83" s="82">
        <v>-21407367201</v>
      </c>
      <c r="E83" s="82">
        <v>56098519538</v>
      </c>
      <c r="F83" s="82">
        <v>-2462934274</v>
      </c>
      <c r="G83" s="9"/>
    </row>
    <row r="84" spans="2:7" ht="14.25" customHeight="1" x14ac:dyDescent="0.45">
      <c r="B84" s="12" t="s">
        <v>172</v>
      </c>
      <c r="C84" s="11" t="s">
        <v>173</v>
      </c>
      <c r="D84" s="82">
        <v>45942326390</v>
      </c>
      <c r="E84" s="82">
        <v>21358747599</v>
      </c>
      <c r="F84" s="82">
        <v>16410739649</v>
      </c>
      <c r="G84" s="9"/>
    </row>
    <row r="85" spans="2:7" ht="14.25" customHeight="1" x14ac:dyDescent="0.45">
      <c r="B85" s="12" t="s">
        <v>174</v>
      </c>
      <c r="C85" s="11" t="s">
        <v>175</v>
      </c>
      <c r="D85" s="82">
        <v>255036831565</v>
      </c>
      <c r="E85" s="82">
        <v>297192456878</v>
      </c>
      <c r="F85" s="82">
        <v>292374749841</v>
      </c>
      <c r="G85" s="9"/>
    </row>
    <row r="86" spans="2:7" ht="14.25" customHeight="1" x14ac:dyDescent="0.45">
      <c r="B86" s="12" t="s">
        <v>176</v>
      </c>
      <c r="C86" s="11" t="s">
        <v>177</v>
      </c>
      <c r="D86" s="82">
        <v>189363608374</v>
      </c>
      <c r="E86" s="82">
        <v>-65337146518</v>
      </c>
      <c r="F86" s="82">
        <v>-42276935877</v>
      </c>
      <c r="G86" s="9"/>
    </row>
    <row r="87" spans="2:7" ht="14.25" customHeight="1" x14ac:dyDescent="0.45">
      <c r="B87" s="12" t="s">
        <v>178</v>
      </c>
      <c r="C87" s="11" t="s">
        <v>127</v>
      </c>
      <c r="D87" s="82">
        <v>137979479911</v>
      </c>
      <c r="E87" s="82">
        <v>12954774631</v>
      </c>
      <c r="F87" s="82">
        <v>-21220898070</v>
      </c>
      <c r="G87" s="9"/>
    </row>
    <row r="88" spans="2:7" ht="14.25" customHeight="1" x14ac:dyDescent="0.45">
      <c r="B88" s="12" t="s">
        <v>179</v>
      </c>
      <c r="C88" s="11" t="s">
        <v>180</v>
      </c>
      <c r="D88" s="82">
        <v>-183479626480</v>
      </c>
      <c r="E88" s="82">
        <v>18941132594</v>
      </c>
      <c r="F88" s="82">
        <v>85769542074</v>
      </c>
      <c r="G88" s="9"/>
    </row>
    <row r="89" spans="2:7" ht="14.25" customHeight="1" x14ac:dyDescent="0.45">
      <c r="B89" s="12" t="s">
        <v>181</v>
      </c>
      <c r="C89" s="11" t="s">
        <v>182</v>
      </c>
      <c r="D89" s="82">
        <v>10328511370</v>
      </c>
      <c r="E89" s="82">
        <v>-6116105917</v>
      </c>
      <c r="F89" s="82">
        <v>-47244872956</v>
      </c>
      <c r="G89" s="9"/>
    </row>
    <row r="90" spans="2:7" ht="14.25" customHeight="1" x14ac:dyDescent="0.45">
      <c r="B90" s="12" t="s">
        <v>183</v>
      </c>
      <c r="C90" s="11" t="s">
        <v>184</v>
      </c>
      <c r="D90" s="82">
        <v>-46196944418</v>
      </c>
      <c r="E90" s="82">
        <v>-22007677332</v>
      </c>
      <c r="F90" s="82">
        <v>-16163958407</v>
      </c>
      <c r="G90" s="9"/>
    </row>
    <row r="91" spans="2:7" ht="14.25" customHeight="1" x14ac:dyDescent="0.45">
      <c r="B91" s="12" t="s">
        <v>185</v>
      </c>
      <c r="C91" s="11" t="s">
        <v>186</v>
      </c>
      <c r="D91" s="82">
        <v>-35032922912</v>
      </c>
      <c r="E91" s="82">
        <v>-13279942344</v>
      </c>
      <c r="F91" s="82">
        <v>-32362457983</v>
      </c>
      <c r="G91" s="9"/>
    </row>
    <row r="92" spans="2:7" ht="32.25" customHeight="1" x14ac:dyDescent="0.45">
      <c r="B92" s="17" t="s">
        <v>187</v>
      </c>
      <c r="C92" s="18" t="s">
        <v>131</v>
      </c>
      <c r="D92" s="86">
        <v>317747389510</v>
      </c>
      <c r="E92" s="86">
        <v>221025828996</v>
      </c>
      <c r="F92" s="86">
        <v>214122633014</v>
      </c>
      <c r="G92" s="9"/>
    </row>
    <row r="93" spans="2:7" ht="15" customHeight="1" x14ac:dyDescent="0.45">
      <c r="B93" s="54" t="s">
        <v>188</v>
      </c>
      <c r="C93" s="54"/>
      <c r="D93" s="54"/>
      <c r="E93" s="54"/>
      <c r="F93" s="54"/>
      <c r="G93" s="54"/>
    </row>
    <row r="94" spans="2:7" ht="14.25" customHeight="1" x14ac:dyDescent="0.45">
      <c r="B94" s="12" t="s">
        <v>189</v>
      </c>
      <c r="C94" s="11" t="s">
        <v>190</v>
      </c>
      <c r="D94" s="82">
        <v>-48578902991</v>
      </c>
      <c r="E94" s="82">
        <v>-138500262248</v>
      </c>
      <c r="F94" s="82">
        <v>-437697616704</v>
      </c>
      <c r="G94" s="9"/>
    </row>
    <row r="95" spans="2:7" ht="14.25" customHeight="1" x14ac:dyDescent="0.45">
      <c r="B95" s="12" t="s">
        <v>191</v>
      </c>
      <c r="C95" s="11" t="s">
        <v>192</v>
      </c>
      <c r="D95" s="82">
        <v>2349410170</v>
      </c>
      <c r="E95" s="82">
        <v>21132077297</v>
      </c>
      <c r="F95" s="82">
        <v>2371594968</v>
      </c>
      <c r="G95" s="9"/>
    </row>
    <row r="96" spans="2:7" ht="21.75" customHeight="1" x14ac:dyDescent="0.45">
      <c r="B96" s="17" t="s">
        <v>193</v>
      </c>
      <c r="C96" s="18" t="s">
        <v>143</v>
      </c>
      <c r="D96" s="86">
        <v>-358031210636</v>
      </c>
      <c r="E96" s="86">
        <v>134441568375</v>
      </c>
      <c r="F96" s="86">
        <v>-446906554372</v>
      </c>
      <c r="G96" s="9"/>
    </row>
    <row r="97" spans="2:7" ht="15" customHeight="1" x14ac:dyDescent="0.45">
      <c r="B97" s="54" t="s">
        <v>194</v>
      </c>
      <c r="C97" s="54"/>
      <c r="D97" s="54"/>
      <c r="E97" s="54"/>
      <c r="F97" s="54"/>
      <c r="G97" s="54"/>
    </row>
    <row r="98" spans="2:7" ht="14.25" customHeight="1" x14ac:dyDescent="0.45">
      <c r="B98" s="12" t="s">
        <v>195</v>
      </c>
      <c r="C98" s="11" t="s">
        <v>196</v>
      </c>
      <c r="D98" s="82">
        <v>0</v>
      </c>
      <c r="E98" s="82">
        <v>0</v>
      </c>
      <c r="F98" s="82">
        <v>363954400000</v>
      </c>
      <c r="G98" s="9"/>
    </row>
    <row r="99" spans="2:7" ht="14.25" customHeight="1" x14ac:dyDescent="0.45">
      <c r="B99" s="12" t="s">
        <v>197</v>
      </c>
      <c r="C99" s="11" t="s">
        <v>198</v>
      </c>
      <c r="D99" s="82">
        <v>1112681371857</v>
      </c>
      <c r="E99" s="82">
        <v>839154407789</v>
      </c>
      <c r="F99" s="82">
        <v>508896818236</v>
      </c>
      <c r="G99" s="9"/>
    </row>
    <row r="100" spans="2:7" ht="14.25" customHeight="1" x14ac:dyDescent="0.45">
      <c r="B100" s="12" t="s">
        <v>199</v>
      </c>
      <c r="C100" s="11" t="s">
        <v>200</v>
      </c>
      <c r="D100" s="82">
        <v>-1325226742983</v>
      </c>
      <c r="E100" s="82">
        <v>-1034623011507</v>
      </c>
      <c r="F100" s="82">
        <v>-485961279091</v>
      </c>
      <c r="G100" s="9"/>
    </row>
    <row r="101" spans="2:7" ht="14.25" customHeight="1" x14ac:dyDescent="0.45">
      <c r="B101" s="12" t="s">
        <v>201</v>
      </c>
      <c r="C101" s="11" t="s">
        <v>202</v>
      </c>
      <c r="D101" s="82">
        <v>-36433000000</v>
      </c>
      <c r="E101" s="82">
        <v>-36433000000</v>
      </c>
      <c r="F101" s="82">
        <v>0</v>
      </c>
      <c r="G101" s="9"/>
    </row>
    <row r="102" spans="2:7" ht="21.75" customHeight="1" x14ac:dyDescent="0.45">
      <c r="B102" s="17" t="s">
        <v>203</v>
      </c>
      <c r="C102" s="18" t="s">
        <v>204</v>
      </c>
      <c r="D102" s="86">
        <f>SUM(D98:D101)</f>
        <v>-248978371126</v>
      </c>
      <c r="E102" s="86">
        <f>SUM(E98:E101)</f>
        <v>-231901603718</v>
      </c>
      <c r="F102" s="86">
        <f>SUM(F98:F101)</f>
        <v>386889939145</v>
      </c>
      <c r="G102" s="9"/>
    </row>
    <row r="103" spans="2:7" ht="21.75" customHeight="1" x14ac:dyDescent="0.45">
      <c r="B103" s="17" t="s">
        <v>205</v>
      </c>
      <c r="C103" s="18" t="s">
        <v>149</v>
      </c>
      <c r="D103" s="86">
        <f>D92+D96+D102</f>
        <v>-289262192252</v>
      </c>
      <c r="E103" s="86">
        <f>E92+E96+E102</f>
        <v>123565793653</v>
      </c>
      <c r="F103" s="86">
        <f>F92+F96+F102</f>
        <v>154106017787</v>
      </c>
      <c r="G103" s="9"/>
    </row>
    <row r="104" spans="2:7" ht="14.25" customHeight="1" x14ac:dyDescent="0.45">
      <c r="B104" s="12" t="s">
        <v>206</v>
      </c>
      <c r="C104" s="11" t="s">
        <v>153</v>
      </c>
      <c r="D104" s="82">
        <v>357140742117</v>
      </c>
      <c r="E104" s="82">
        <v>68340657663</v>
      </c>
      <c r="F104" s="82">
        <v>191950270642</v>
      </c>
      <c r="G104" s="9"/>
    </row>
    <row r="105" spans="2:7" ht="32.25" customHeight="1" x14ac:dyDescent="0.45">
      <c r="B105" s="12" t="s">
        <v>207</v>
      </c>
      <c r="C105" s="18" t="s">
        <v>208</v>
      </c>
      <c r="D105" s="86">
        <f>D8</f>
        <v>68340657663</v>
      </c>
      <c r="E105" s="86">
        <f>E8</f>
        <v>191950270642</v>
      </c>
      <c r="F105" s="86">
        <f>F8</f>
        <v>346419887547</v>
      </c>
      <c r="G105" s="9"/>
    </row>
    <row r="107" spans="2:7" ht="14.25" customHeight="1" x14ac:dyDescent="0.45">
      <c r="B107" s="69" t="s">
        <v>699</v>
      </c>
    </row>
    <row r="108" spans="2:7" ht="14.25" customHeight="1" x14ac:dyDescent="0.45">
      <c r="B108" s="19" t="s">
        <v>209</v>
      </c>
      <c r="D108" s="20" t="s">
        <v>28</v>
      </c>
      <c r="E108" s="20" t="s">
        <v>29</v>
      </c>
      <c r="F108" s="20" t="s">
        <v>30</v>
      </c>
    </row>
    <row r="109" spans="2:7" ht="14.25" customHeight="1" x14ac:dyDescent="0.45">
      <c r="B109" s="21" t="s">
        <v>210</v>
      </c>
      <c r="D109" s="74">
        <f>D7-(D8+D11+D12+D17+D24)</f>
        <v>0</v>
      </c>
      <c r="E109" s="74">
        <f>E7-(E8+E11+E12+E17+E24)</f>
        <v>0</v>
      </c>
      <c r="F109" s="74">
        <f>F7-(F8+F11+F12+F17+F24)</f>
        <v>0</v>
      </c>
      <c r="G109" s="22"/>
    </row>
    <row r="110" spans="2:7" ht="14.25" customHeight="1" x14ac:dyDescent="0.45">
      <c r="B110" s="21" t="s">
        <v>211</v>
      </c>
      <c r="D110" s="74">
        <f>D12-(D13+D14+D15-D16)</f>
        <v>0</v>
      </c>
      <c r="E110" s="74">
        <f>E12-(E13+E14+E15-E16)</f>
        <v>0</v>
      </c>
      <c r="F110" s="74">
        <f>F12-(F13+F14+F15-F16)</f>
        <v>0</v>
      </c>
      <c r="G110" s="9"/>
    </row>
    <row r="111" spans="2:7" ht="14.25" customHeight="1" x14ac:dyDescent="0.45">
      <c r="B111" s="21" t="s">
        <v>212</v>
      </c>
      <c r="D111" s="74">
        <f>D17-(D18+D19+D20+D21+D22-D23)</f>
        <v>0</v>
      </c>
      <c r="E111" s="74">
        <f>E17-(E18+E19+E20+E21+E22-E23)</f>
        <v>0</v>
      </c>
      <c r="F111" s="74">
        <f>F17-(F18+F19+F20+F21+F22-F23)</f>
        <v>0</v>
      </c>
      <c r="G111" s="9"/>
    </row>
    <row r="112" spans="2:7" ht="14.25" customHeight="1" x14ac:dyDescent="0.45">
      <c r="B112" s="21" t="s">
        <v>213</v>
      </c>
      <c r="D112" s="74">
        <f>D26-(D27-D28)</f>
        <v>0</v>
      </c>
      <c r="E112" s="74">
        <f>E26-(E27-E28)</f>
        <v>0</v>
      </c>
      <c r="F112" s="74">
        <f>F26-(F27-F28)</f>
        <v>0</v>
      </c>
      <c r="G112" s="9"/>
    </row>
    <row r="113" spans="2:7" ht="14.25" customHeight="1" x14ac:dyDescent="0.45">
      <c r="B113" s="21" t="s">
        <v>214</v>
      </c>
      <c r="D113" s="74">
        <f>D25-(D26+D29+D30+D31)</f>
        <v>0</v>
      </c>
      <c r="E113" s="74">
        <f>E25-(E26+E29+E30+E31)</f>
        <v>0</v>
      </c>
      <c r="F113" s="74">
        <f>F25-(F26+F29+F30+F31)</f>
        <v>0</v>
      </c>
      <c r="G113" s="9"/>
    </row>
    <row r="114" spans="2:7" ht="14.25" customHeight="1" x14ac:dyDescent="0.45">
      <c r="B114" s="21" t="s">
        <v>215</v>
      </c>
      <c r="D114" s="74">
        <f>D32-(D7+D25)</f>
        <v>0</v>
      </c>
      <c r="E114" s="74">
        <f>E32-(E7+E25)</f>
        <v>0</v>
      </c>
      <c r="F114" s="74">
        <f>F32-(F7+F25)</f>
        <v>0</v>
      </c>
      <c r="G114" s="9"/>
    </row>
    <row r="115" spans="2:7" ht="14.25" customHeight="1" x14ac:dyDescent="0.45">
      <c r="B115" s="21" t="s">
        <v>216</v>
      </c>
      <c r="D115" s="74">
        <f>D35-SUM(D36:D42)</f>
        <v>0</v>
      </c>
      <c r="E115" s="74">
        <f>E35-SUM(E36:E42)</f>
        <v>0</v>
      </c>
      <c r="F115" s="74">
        <f>F35-SUM(F36:F42)</f>
        <v>0</v>
      </c>
      <c r="G115" s="9"/>
    </row>
    <row r="116" spans="2:7" ht="14.25" customHeight="1" x14ac:dyDescent="0.45">
      <c r="B116" s="21" t="s">
        <v>217</v>
      </c>
      <c r="D116" s="74">
        <f>D34-(D35+D43)</f>
        <v>0</v>
      </c>
      <c r="E116" s="74">
        <f>E34-(E35+E43)</f>
        <v>0</v>
      </c>
      <c r="F116" s="74">
        <f>F34-(F35+F43)</f>
        <v>0</v>
      </c>
      <c r="G116" s="9"/>
    </row>
    <row r="117" spans="2:7" ht="14.25" customHeight="1" x14ac:dyDescent="0.45">
      <c r="B117" s="21" t="s">
        <v>218</v>
      </c>
      <c r="D117" s="74">
        <f>D46-(D47+D48+D49+D50+D45)</f>
        <v>0</v>
      </c>
      <c r="E117" s="74">
        <f>E46-(E47+E48+E49+E50+E45)</f>
        <v>0</v>
      </c>
      <c r="F117" s="74">
        <f>F46-(F47+F48+F49+F50+F45)</f>
        <v>0</v>
      </c>
      <c r="G117" s="9"/>
    </row>
    <row r="118" spans="2:7" ht="14.25" customHeight="1" x14ac:dyDescent="0.45">
      <c r="B118" s="21" t="s">
        <v>219</v>
      </c>
      <c r="D118" s="74">
        <f>D51-(D34+D46)</f>
        <v>0</v>
      </c>
      <c r="E118" s="74">
        <f>E51-(E34+E46)</f>
        <v>0</v>
      </c>
      <c r="F118" s="74">
        <f>F51-(F34+F46)</f>
        <v>0</v>
      </c>
      <c r="G118" s="9"/>
    </row>
    <row r="119" spans="2:7" ht="14.25" customHeight="1" x14ac:dyDescent="0.45">
      <c r="B119" s="21" t="s">
        <v>220</v>
      </c>
      <c r="D119" s="74">
        <f>D32-D51</f>
        <v>0</v>
      </c>
      <c r="E119" s="74">
        <f>E32-E51</f>
        <v>0</v>
      </c>
      <c r="F119" s="74">
        <f>F32-F51</f>
        <v>0</v>
      </c>
      <c r="G119" s="9"/>
    </row>
    <row r="120" spans="2:7" ht="14.25" customHeight="1" x14ac:dyDescent="0.45">
      <c r="B120" s="21" t="s">
        <v>221</v>
      </c>
      <c r="D120" s="74">
        <f>D58-(D56-D57)</f>
        <v>0</v>
      </c>
      <c r="E120" s="74">
        <f>E58-(E56-E57)</f>
        <v>0</v>
      </c>
      <c r="F120" s="74">
        <f>F58-(F56-F57)</f>
        <v>0</v>
      </c>
      <c r="G120" s="9"/>
    </row>
    <row r="121" spans="2:7" ht="14.25" customHeight="1" x14ac:dyDescent="0.45">
      <c r="B121" s="21" t="s">
        <v>222</v>
      </c>
      <c r="D121" s="74">
        <f>D60-(D58-D59)</f>
        <v>0</v>
      </c>
      <c r="E121" s="74">
        <f>E60-(E58-E59)</f>
        <v>0</v>
      </c>
      <c r="F121" s="74">
        <f>F60-(F58-F59)</f>
        <v>0</v>
      </c>
      <c r="G121" s="9"/>
    </row>
    <row r="122" spans="2:7" ht="14.25" customHeight="1" x14ac:dyDescent="0.45">
      <c r="B122" s="21" t="s">
        <v>223</v>
      </c>
      <c r="D122" s="74">
        <f>D66-(D60+D61-D62-D72-D64-D65)</f>
        <v>0</v>
      </c>
      <c r="E122" s="74">
        <f>E66-(E60+E61-E62-E72-E64-E65)</f>
        <v>0</v>
      </c>
      <c r="F122" s="74">
        <f>F66-(F60+F61-F62-F72-F64-F65)</f>
        <v>0</v>
      </c>
      <c r="G122" s="9"/>
    </row>
    <row r="123" spans="2:7" ht="14.25" customHeight="1" x14ac:dyDescent="0.45">
      <c r="B123" s="21" t="s">
        <v>224</v>
      </c>
      <c r="D123" s="74">
        <f>D69-(D66+D67-D68)</f>
        <v>0</v>
      </c>
      <c r="E123" s="74">
        <f>E69-(E66+E67-E68)</f>
        <v>0</v>
      </c>
      <c r="F123" s="74">
        <f>F69-(F66+F67-F68)</f>
        <v>0</v>
      </c>
      <c r="G123" s="9"/>
    </row>
    <row r="124" spans="2:7" ht="14.25" customHeight="1" x14ac:dyDescent="0.45">
      <c r="B124" s="21" t="s">
        <v>225</v>
      </c>
      <c r="D124" s="74">
        <f>D71-(D69-D70)</f>
        <v>0</v>
      </c>
      <c r="E124" s="74">
        <f>E71-(E69-E70)</f>
        <v>0</v>
      </c>
      <c r="F124" s="74">
        <f>F71-(F69-F70)</f>
        <v>0</v>
      </c>
      <c r="G124" s="9"/>
    </row>
    <row r="125" spans="2:7" ht="14.25" customHeight="1" x14ac:dyDescent="0.45">
      <c r="B125" s="21" t="s">
        <v>226</v>
      </c>
      <c r="D125" s="74">
        <f>D102-(D98+D99+D100+D101)</f>
        <v>0</v>
      </c>
      <c r="E125" s="74">
        <f>E102-(E98+E99+E100+E101)</f>
        <v>0</v>
      </c>
      <c r="F125" s="74">
        <f>F102-(F98+F99+F100+F101)</f>
        <v>0</v>
      </c>
      <c r="G125" s="9"/>
    </row>
    <row r="126" spans="2:7" ht="14.25" customHeight="1" x14ac:dyDescent="0.45">
      <c r="B126" s="21" t="s">
        <v>227</v>
      </c>
      <c r="D126" s="74">
        <f>D103-(D92+D96+D102)</f>
        <v>0</v>
      </c>
      <c r="E126" s="74">
        <f>E103-(E92+E96+E102)</f>
        <v>0</v>
      </c>
      <c r="F126" s="74">
        <f>F103-(F92+F96+F102)</f>
        <v>0</v>
      </c>
      <c r="G126" s="9"/>
    </row>
  </sheetData>
  <mergeCells count="6">
    <mergeCell ref="B97:G97"/>
    <mergeCell ref="B55:G55"/>
    <mergeCell ref="B77:G77"/>
    <mergeCell ref="B78:G78"/>
    <mergeCell ref="B93:G93"/>
    <mergeCell ref="B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47"/>
  <sheetViews>
    <sheetView showGridLines="0" zoomScaleNormal="100" workbookViewId="0">
      <selection activeCell="A8" sqref="A8"/>
    </sheetView>
  </sheetViews>
  <sheetFormatPr defaultColWidth="8.6640625" defaultRowHeight="14.25" x14ac:dyDescent="0.45"/>
  <cols>
    <col min="1" max="1" width="3" customWidth="1"/>
    <col min="2" max="2" width="42" customWidth="1"/>
    <col min="3" max="5" width="15" customWidth="1"/>
    <col min="6" max="6" width="35" customWidth="1"/>
    <col min="7" max="7" width="3" customWidth="1"/>
  </cols>
  <sheetData>
    <row r="2" spans="1:6" ht="18" customHeight="1" x14ac:dyDescent="0.45">
      <c r="B2" s="8" t="s">
        <v>228</v>
      </c>
    </row>
    <row r="3" spans="1:6" ht="23.25" customHeight="1" x14ac:dyDescent="0.45">
      <c r="B3" s="52"/>
    </row>
    <row r="5" spans="1:6" ht="14.25" customHeight="1" x14ac:dyDescent="0.45">
      <c r="A5" s="4"/>
      <c r="B5" s="4" t="s">
        <v>229</v>
      </c>
      <c r="C5" s="4" t="s">
        <v>230</v>
      </c>
      <c r="D5" s="4" t="s">
        <v>231</v>
      </c>
      <c r="E5" s="4" t="s">
        <v>232</v>
      </c>
      <c r="F5" s="4" t="s">
        <v>233</v>
      </c>
    </row>
    <row r="6" spans="1:6" ht="15" customHeight="1" x14ac:dyDescent="0.45">
      <c r="B6" s="55" t="s">
        <v>234</v>
      </c>
      <c r="C6" s="55"/>
      <c r="D6" s="55"/>
      <c r="E6" s="55"/>
      <c r="F6" s="55"/>
    </row>
    <row r="7" spans="1:6" ht="14.25" customHeight="1" x14ac:dyDescent="0.45">
      <c r="B7" s="23" t="s">
        <v>235</v>
      </c>
      <c r="C7" s="75">
        <v>30</v>
      </c>
      <c r="D7" s="75">
        <v>30</v>
      </c>
      <c r="E7" s="75">
        <v>30</v>
      </c>
      <c r="F7" s="24" t="s">
        <v>236</v>
      </c>
    </row>
    <row r="8" spans="1:6" ht="14.25" customHeight="1" x14ac:dyDescent="0.45">
      <c r="B8" s="23" t="s">
        <v>237</v>
      </c>
      <c r="C8" s="75">
        <v>60</v>
      </c>
      <c r="D8" s="75">
        <v>60</v>
      </c>
      <c r="E8" s="75">
        <v>60</v>
      </c>
      <c r="F8" s="24" t="s">
        <v>238</v>
      </c>
    </row>
    <row r="9" spans="1:6" ht="14.25" customHeight="1" x14ac:dyDescent="0.45">
      <c r="B9" s="23" t="s">
        <v>239</v>
      </c>
      <c r="C9" s="75">
        <v>90</v>
      </c>
      <c r="D9" s="75">
        <v>90</v>
      </c>
      <c r="E9" s="75">
        <v>90</v>
      </c>
      <c r="F9" s="24" t="s">
        <v>240</v>
      </c>
    </row>
    <row r="10" spans="1:6" ht="14.25" customHeight="1" x14ac:dyDescent="0.45">
      <c r="B10" s="23" t="s">
        <v>241</v>
      </c>
      <c r="C10" s="75">
        <v>180</v>
      </c>
      <c r="D10" s="75">
        <v>180</v>
      </c>
      <c r="E10" s="75">
        <v>180</v>
      </c>
      <c r="F10" s="24" t="s">
        <v>242</v>
      </c>
    </row>
    <row r="11" spans="1:6" ht="14.25" customHeight="1" x14ac:dyDescent="0.45">
      <c r="B11" s="23" t="s">
        <v>243</v>
      </c>
      <c r="C11" s="75">
        <v>999</v>
      </c>
      <c r="D11" s="75">
        <v>999</v>
      </c>
      <c r="E11" s="75">
        <v>999</v>
      </c>
      <c r="F11" s="24" t="s">
        <v>244</v>
      </c>
    </row>
    <row r="12" spans="1:6" ht="14.25" customHeight="1" x14ac:dyDescent="0.45">
      <c r="B12" s="23" t="s">
        <v>245</v>
      </c>
      <c r="C12" s="76">
        <v>5.0000000000000001E-3</v>
      </c>
      <c r="D12" s="76">
        <v>5.0000000000000001E-3</v>
      </c>
      <c r="E12" s="76">
        <v>5.0000000000000001E-3</v>
      </c>
      <c r="F12" s="24" t="s">
        <v>246</v>
      </c>
    </row>
    <row r="14" spans="1:6" ht="15" customHeight="1" x14ac:dyDescent="0.45">
      <c r="B14" s="55" t="s">
        <v>247</v>
      </c>
      <c r="C14" s="55"/>
      <c r="D14" s="55"/>
      <c r="E14" s="55"/>
      <c r="F14" s="55"/>
    </row>
    <row r="15" spans="1:6" ht="14.25" customHeight="1" x14ac:dyDescent="0.45">
      <c r="B15" s="23" t="s">
        <v>248</v>
      </c>
      <c r="C15" s="81">
        <v>-5</v>
      </c>
      <c r="D15" s="77"/>
      <c r="E15" s="77"/>
      <c r="F15" s="24" t="s">
        <v>249</v>
      </c>
    </row>
    <row r="16" spans="1:6" ht="14.25" customHeight="1" x14ac:dyDescent="0.45">
      <c r="B16" s="23" t="s">
        <v>250</v>
      </c>
      <c r="C16" s="81">
        <v>-10</v>
      </c>
      <c r="D16" s="77"/>
      <c r="E16" s="77"/>
      <c r="F16" s="24" t="s">
        <v>251</v>
      </c>
    </row>
    <row r="17" spans="2:6" ht="14.25" customHeight="1" x14ac:dyDescent="0.45">
      <c r="B17" s="23" t="s">
        <v>252</v>
      </c>
      <c r="C17" s="81">
        <v>-15</v>
      </c>
      <c r="D17" s="77"/>
      <c r="E17" s="77"/>
      <c r="F17" s="24" t="s">
        <v>253</v>
      </c>
    </row>
    <row r="18" spans="2:6" ht="14.25" customHeight="1" x14ac:dyDescent="0.45">
      <c r="B18" s="23" t="s">
        <v>254</v>
      </c>
      <c r="C18" s="75">
        <v>5</v>
      </c>
      <c r="D18" s="77"/>
      <c r="E18" s="77"/>
      <c r="F18" s="24" t="s">
        <v>255</v>
      </c>
    </row>
    <row r="20" spans="2:6" ht="15" customHeight="1" x14ac:dyDescent="0.45">
      <c r="B20" s="55" t="s">
        <v>256</v>
      </c>
      <c r="C20" s="55"/>
      <c r="D20" s="55"/>
      <c r="E20" s="55"/>
      <c r="F20" s="55"/>
    </row>
    <row r="21" spans="2:6" ht="14.25" customHeight="1" x14ac:dyDescent="0.45">
      <c r="B21" s="23" t="s">
        <v>257</v>
      </c>
      <c r="C21" s="78">
        <v>5000000000</v>
      </c>
      <c r="D21" s="78">
        <v>3000000000</v>
      </c>
      <c r="E21" s="78">
        <v>10000000000</v>
      </c>
      <c r="F21" s="24" t="s">
        <v>258</v>
      </c>
    </row>
    <row r="22" spans="2:6" ht="14.25" customHeight="1" x14ac:dyDescent="0.45">
      <c r="B22" s="23" t="s">
        <v>259</v>
      </c>
      <c r="C22" s="75">
        <v>60</v>
      </c>
      <c r="D22" s="75">
        <v>45</v>
      </c>
      <c r="E22" s="75">
        <v>90</v>
      </c>
      <c r="F22" s="24" t="s">
        <v>260</v>
      </c>
    </row>
    <row r="23" spans="2:6" ht="14.25" customHeight="1" x14ac:dyDescent="0.45">
      <c r="B23" s="23" t="s">
        <v>261</v>
      </c>
      <c r="C23" s="75">
        <v>60</v>
      </c>
      <c r="D23" s="75">
        <v>45</v>
      </c>
      <c r="E23" s="75">
        <v>90</v>
      </c>
      <c r="F23" s="24" t="s">
        <v>260</v>
      </c>
    </row>
    <row r="24" spans="2:6" ht="14.25" customHeight="1" x14ac:dyDescent="0.45">
      <c r="B24" s="23" t="s">
        <v>262</v>
      </c>
      <c r="C24" s="75">
        <v>45</v>
      </c>
      <c r="D24" s="75">
        <v>30</v>
      </c>
      <c r="E24" s="75">
        <v>60</v>
      </c>
      <c r="F24" s="24"/>
    </row>
    <row r="25" spans="2:6" ht="14.25" customHeight="1" x14ac:dyDescent="0.45">
      <c r="B25" s="23" t="s">
        <v>263</v>
      </c>
      <c r="C25" s="75">
        <v>30</v>
      </c>
      <c r="D25" s="75">
        <v>15</v>
      </c>
      <c r="E25" s="75">
        <v>45</v>
      </c>
      <c r="F25" s="24"/>
    </row>
    <row r="26" spans="2:6" ht="14.25" customHeight="1" x14ac:dyDescent="0.45">
      <c r="B26" s="23" t="s">
        <v>264</v>
      </c>
      <c r="C26" s="75">
        <v>60</v>
      </c>
      <c r="D26" s="75">
        <v>30</v>
      </c>
      <c r="E26" s="75">
        <v>90</v>
      </c>
      <c r="F26" s="24" t="s">
        <v>265</v>
      </c>
    </row>
    <row r="27" spans="2:6" ht="14.25" customHeight="1" x14ac:dyDescent="0.45">
      <c r="B27" s="23" t="s">
        <v>266</v>
      </c>
      <c r="C27" s="76">
        <v>0.05</v>
      </c>
      <c r="D27" s="76">
        <v>0</v>
      </c>
      <c r="E27" s="76">
        <v>0.1</v>
      </c>
      <c r="F27" s="24" t="s">
        <v>267</v>
      </c>
    </row>
    <row r="28" spans="2:6" ht="14.25" customHeight="1" x14ac:dyDescent="0.45">
      <c r="B28" s="23" t="s">
        <v>268</v>
      </c>
      <c r="C28" s="76">
        <v>0.6</v>
      </c>
      <c r="D28" s="76">
        <v>0.4</v>
      </c>
      <c r="E28" s="76">
        <v>0.8</v>
      </c>
      <c r="F28" s="24"/>
    </row>
    <row r="29" spans="2:6" ht="14.25" customHeight="1" x14ac:dyDescent="0.45">
      <c r="B29" s="23" t="s">
        <v>269</v>
      </c>
      <c r="C29" s="76">
        <v>0.3</v>
      </c>
      <c r="D29" s="76">
        <v>0.15</v>
      </c>
      <c r="E29" s="76">
        <v>0.4</v>
      </c>
      <c r="F29" s="24"/>
    </row>
    <row r="30" spans="2:6" ht="14.25" customHeight="1" x14ac:dyDescent="0.45">
      <c r="B30" s="23" t="s">
        <v>270</v>
      </c>
      <c r="C30" s="76">
        <v>0.02</v>
      </c>
      <c r="D30" s="76">
        <v>0</v>
      </c>
      <c r="E30" s="76">
        <v>0.05</v>
      </c>
      <c r="F30" s="24"/>
    </row>
    <row r="31" spans="2:6" ht="14.25" customHeight="1" x14ac:dyDescent="0.45">
      <c r="B31" s="23" t="s">
        <v>271</v>
      </c>
      <c r="C31" s="75">
        <v>5</v>
      </c>
      <c r="D31" s="75">
        <v>1</v>
      </c>
      <c r="E31" s="75">
        <v>10</v>
      </c>
      <c r="F31" s="24" t="s">
        <v>272</v>
      </c>
    </row>
    <row r="32" spans="2:6" ht="14.25" customHeight="1" x14ac:dyDescent="0.45">
      <c r="B32" s="23" t="s">
        <v>273</v>
      </c>
      <c r="C32" s="75">
        <v>20</v>
      </c>
      <c r="D32" s="75">
        <v>20</v>
      </c>
      <c r="E32" s="75">
        <v>20</v>
      </c>
      <c r="F32" s="24" t="s">
        <v>274</v>
      </c>
    </row>
    <row r="34" spans="2:6" ht="15" customHeight="1" x14ac:dyDescent="0.45">
      <c r="B34" s="55" t="s">
        <v>275</v>
      </c>
      <c r="C34" s="55"/>
      <c r="D34" s="55"/>
      <c r="E34" s="55"/>
      <c r="F34" s="55"/>
    </row>
    <row r="35" spans="2:6" ht="14.25" customHeight="1" x14ac:dyDescent="0.45">
      <c r="B35" s="23" t="s">
        <v>276</v>
      </c>
      <c r="C35" s="76">
        <v>0.8</v>
      </c>
      <c r="D35" s="76">
        <v>0.75</v>
      </c>
      <c r="E35" s="76">
        <v>0.85</v>
      </c>
      <c r="F35" s="24" t="s">
        <v>277</v>
      </c>
    </row>
    <row r="36" spans="2:6" ht="14.25" customHeight="1" x14ac:dyDescent="0.45">
      <c r="B36" s="23" t="s">
        <v>278</v>
      </c>
      <c r="C36" s="76">
        <v>0.95</v>
      </c>
      <c r="D36" s="76">
        <v>0.9</v>
      </c>
      <c r="E36" s="76">
        <v>0.97</v>
      </c>
      <c r="F36" s="24" t="s">
        <v>279</v>
      </c>
    </row>
    <row r="37" spans="2:6" ht="14.25" customHeight="1" x14ac:dyDescent="0.45">
      <c r="B37" s="23" t="s">
        <v>280</v>
      </c>
      <c r="C37" s="76">
        <v>1</v>
      </c>
      <c r="D37" s="76">
        <v>1</v>
      </c>
      <c r="E37" s="76">
        <v>1</v>
      </c>
      <c r="F37" s="24" t="s">
        <v>281</v>
      </c>
    </row>
    <row r="38" spans="2:6" ht="14.25" customHeight="1" x14ac:dyDescent="0.45">
      <c r="B38" s="23" t="s">
        <v>282</v>
      </c>
      <c r="C38" s="75">
        <v>7</v>
      </c>
      <c r="D38" s="75">
        <v>7</v>
      </c>
      <c r="E38" s="75">
        <v>14</v>
      </c>
      <c r="F38" s="24" t="s">
        <v>283</v>
      </c>
    </row>
    <row r="39" spans="2:6" ht="14.25" customHeight="1" x14ac:dyDescent="0.45">
      <c r="B39" s="23" t="s">
        <v>284</v>
      </c>
      <c r="C39" s="75">
        <v>30</v>
      </c>
      <c r="D39" s="75">
        <v>30</v>
      </c>
      <c r="E39" s="75">
        <v>30</v>
      </c>
      <c r="F39" s="24" t="s">
        <v>285</v>
      </c>
    </row>
    <row r="40" spans="2:6" ht="14.25" customHeight="1" x14ac:dyDescent="0.45">
      <c r="B40" s="23" t="s">
        <v>286</v>
      </c>
      <c r="C40" s="75">
        <v>90</v>
      </c>
      <c r="D40" s="75">
        <v>90</v>
      </c>
      <c r="E40" s="75">
        <v>90</v>
      </c>
      <c r="F40" s="24" t="s">
        <v>287</v>
      </c>
    </row>
    <row r="42" spans="2:6" ht="15" customHeight="1" x14ac:dyDescent="0.45">
      <c r="B42" s="55" t="s">
        <v>288</v>
      </c>
      <c r="C42" s="55"/>
      <c r="D42" s="55"/>
      <c r="E42" s="55"/>
      <c r="F42" s="55"/>
    </row>
    <row r="43" spans="2:6" ht="14.25" customHeight="1" x14ac:dyDescent="0.45">
      <c r="B43" s="23" t="s">
        <v>289</v>
      </c>
      <c r="C43" s="75">
        <v>365</v>
      </c>
      <c r="D43" s="75">
        <v>360</v>
      </c>
      <c r="E43" s="75">
        <v>365</v>
      </c>
      <c r="F43" s="24" t="s">
        <v>290</v>
      </c>
    </row>
    <row r="44" spans="2:6" ht="14.25" customHeight="1" x14ac:dyDescent="0.45">
      <c r="B44" s="23" t="s">
        <v>291</v>
      </c>
      <c r="C44" s="79" t="s">
        <v>292</v>
      </c>
      <c r="D44" s="79"/>
      <c r="E44" s="79"/>
      <c r="F44" s="24" t="s">
        <v>293</v>
      </c>
    </row>
    <row r="46" spans="2:6" ht="14.25" customHeight="1" x14ac:dyDescent="0.45">
      <c r="B46" s="25" t="s">
        <v>294</v>
      </c>
    </row>
    <row r="47" spans="2:6" ht="14.25" customHeight="1" x14ac:dyDescent="0.45">
      <c r="B47" s="19" t="s">
        <v>295</v>
      </c>
      <c r="C47" s="80">
        <v>0.2</v>
      </c>
      <c r="F47" s="26" t="s">
        <v>296</v>
      </c>
    </row>
  </sheetData>
  <mergeCells count="5">
    <mergeCell ref="B6:F6"/>
    <mergeCell ref="B14:F14"/>
    <mergeCell ref="B20:F20"/>
    <mergeCell ref="B34:F34"/>
    <mergeCell ref="B42:F4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53"/>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D9" sqref="D9"/>
    </sheetView>
  </sheetViews>
  <sheetFormatPr defaultColWidth="8.6640625" defaultRowHeight="14.25" x14ac:dyDescent="0.45"/>
  <cols>
    <col min="1" max="1" width="3" customWidth="1"/>
    <col min="2" max="2" width="57.796875" bestFit="1" customWidth="1"/>
    <col min="3" max="5" width="15.86328125" bestFit="1" customWidth="1"/>
    <col min="6" max="8" width="12" customWidth="1"/>
    <col min="9" max="9" width="3" customWidth="1"/>
  </cols>
  <sheetData>
    <row r="2" spans="1:8" ht="36" customHeight="1" x14ac:dyDescent="0.45">
      <c r="B2" s="8" t="s">
        <v>297</v>
      </c>
    </row>
    <row r="3" spans="1:8" ht="23.25" customHeight="1" x14ac:dyDescent="0.45">
      <c r="B3" s="9"/>
    </row>
    <row r="5" spans="1:8" ht="14.25" customHeight="1" x14ac:dyDescent="0.45">
      <c r="A5" s="27"/>
      <c r="B5" s="27" t="s">
        <v>298</v>
      </c>
      <c r="C5" s="27" t="s">
        <v>28</v>
      </c>
      <c r="D5" s="27" t="s">
        <v>29</v>
      </c>
      <c r="E5" s="27" t="s">
        <v>30</v>
      </c>
      <c r="F5" s="27" t="s">
        <v>299</v>
      </c>
      <c r="G5" s="27" t="s">
        <v>300</v>
      </c>
      <c r="H5" s="27" t="s">
        <v>301</v>
      </c>
    </row>
    <row r="6" spans="1:8" ht="15" customHeight="1" x14ac:dyDescent="0.45">
      <c r="A6" s="55" t="s">
        <v>302</v>
      </c>
      <c r="B6" s="55"/>
      <c r="C6" s="55"/>
      <c r="D6" s="55"/>
      <c r="E6" s="55"/>
      <c r="F6" s="55"/>
      <c r="G6" s="55"/>
      <c r="H6" s="55"/>
    </row>
    <row r="7" spans="1:8" ht="14.25" customHeight="1" x14ac:dyDescent="0.45">
      <c r="B7" s="12" t="s">
        <v>303</v>
      </c>
      <c r="C7" s="89">
        <f>IFERROR(INDEX('01_Inputs'!D:D,MATCH("110",'01_Inputs'!C:C,0)),0)</f>
        <v>68340657663</v>
      </c>
      <c r="D7" s="89">
        <f>IFERROR(INDEX('01_Inputs'!E:E,MATCH("110",'01_Inputs'!C:C,0)),0)</f>
        <v>191950270642</v>
      </c>
      <c r="E7" s="89">
        <f>IFERROR(INDEX('01_Inputs'!F:F,MATCH("110",'01_Inputs'!C:C,0)),0)</f>
        <v>346419887547</v>
      </c>
      <c r="F7" s="94">
        <f t="shared" ref="F7:F25" si="0">IFERROR(C7/C$18,0)</f>
        <v>3.2909407680292144E-2</v>
      </c>
      <c r="G7" s="94">
        <f t="shared" ref="G7:G25" si="1">IFERROR(D7/D$18,0)</f>
        <v>9.9444189210954548E-2</v>
      </c>
      <c r="H7" s="94">
        <f t="shared" ref="H7:H25" si="2">IFERROR(E7/E$18,0)</f>
        <v>0.13696815272497273</v>
      </c>
    </row>
    <row r="8" spans="1:8" ht="14.25" customHeight="1" x14ac:dyDescent="0.45">
      <c r="B8" s="12" t="s">
        <v>304</v>
      </c>
      <c r="C8" s="89">
        <f>IFERROR(INDEX('01_Inputs'!D:D,MATCH("120",'01_Inputs'!C:C,0)),0)</f>
        <v>200192000000</v>
      </c>
      <c r="D8" s="89">
        <f>IFERROR(INDEX('01_Inputs'!E:E,MATCH("120",'01_Inputs'!C:C,0)),0)</f>
        <v>760062000</v>
      </c>
      <c r="E8" s="89">
        <f>IFERROR(INDEX('01_Inputs'!F:F,MATCH("120",'01_Inputs'!C:C,0)),0)</f>
        <v>119400000000</v>
      </c>
      <c r="F8" s="94">
        <f t="shared" si="0"/>
        <v>9.6402352093546376E-2</v>
      </c>
      <c r="G8" s="94">
        <f t="shared" si="1"/>
        <v>3.937673496747772E-4</v>
      </c>
      <c r="H8" s="94">
        <f t="shared" si="2"/>
        <v>4.72085986493571E-2</v>
      </c>
    </row>
    <row r="9" spans="1:8" ht="14.25" customHeight="1" x14ac:dyDescent="0.45">
      <c r="B9" s="12" t="s">
        <v>305</v>
      </c>
      <c r="C9" s="89">
        <f>IFERROR(INDEX('01_Inputs'!D:D,MATCH("131",'01_Inputs'!C:C,0)),0)</f>
        <v>225698917511</v>
      </c>
      <c r="D9" s="89">
        <f>IFERROR(INDEX('01_Inputs'!E:E,MATCH("131",'01_Inputs'!C:C,0)),0)</f>
        <v>298853660085</v>
      </c>
      <c r="E9" s="89">
        <f>IFERROR(INDEX('01_Inputs'!F:F,MATCH("131",'01_Inputs'!C:C,0)),0)</f>
        <v>281041557777</v>
      </c>
      <c r="F9" s="94">
        <f t="shared" si="0"/>
        <v>0.10868519477815149</v>
      </c>
      <c r="G9" s="94">
        <f t="shared" si="1"/>
        <v>0.15482791360741255</v>
      </c>
      <c r="H9" s="94">
        <f t="shared" si="2"/>
        <v>0.11111874459702259</v>
      </c>
    </row>
    <row r="10" spans="1:8" ht="14.25" customHeight="1" x14ac:dyDescent="0.45">
      <c r="B10" s="12" t="s">
        <v>306</v>
      </c>
      <c r="C10" s="89">
        <f>IFERROR(INDEX('01_Inputs'!D:D,MATCH("152",'01_Inputs'!C:C,0)),0)</f>
        <v>110619487264</v>
      </c>
      <c r="D10" s="89">
        <f>IFERROR(INDEX('01_Inputs'!E:E,MATCH("152",'01_Inputs'!C:C,0)),0)</f>
        <v>109617529820</v>
      </c>
      <c r="E10" s="89">
        <f>IFERROR(INDEX('01_Inputs'!F:F,MATCH("152",'01_Inputs'!C:C,0)),0)</f>
        <v>109141860273</v>
      </c>
      <c r="F10" s="94">
        <f t="shared" si="0"/>
        <v>5.3268755792597593E-2</v>
      </c>
      <c r="G10" s="94">
        <f t="shared" si="1"/>
        <v>5.6789846348215357E-2</v>
      </c>
      <c r="H10" s="94">
        <f t="shared" si="2"/>
        <v>4.3152715891727547E-2</v>
      </c>
    </row>
    <row r="11" spans="1:8" ht="14.25" customHeight="1" x14ac:dyDescent="0.45">
      <c r="B11" s="12" t="s">
        <v>307</v>
      </c>
      <c r="C11" s="89">
        <f>IFERROR(INDEX('01_Inputs'!D:D,MATCH("154",'01_Inputs'!C:C,0)),0)</f>
        <v>49989085832</v>
      </c>
      <c r="D11" s="89">
        <f>IFERROR(INDEX('01_Inputs'!E:E,MATCH("154",'01_Inputs'!C:C,0)),0)</f>
        <v>46501449750</v>
      </c>
      <c r="E11" s="89">
        <f>IFERROR(INDEX('01_Inputs'!F:F,MATCH("154",'01_Inputs'!C:C,0)),0)</f>
        <v>55423165622</v>
      </c>
      <c r="F11" s="94">
        <f t="shared" si="0"/>
        <v>2.4072217936835512E-2</v>
      </c>
      <c r="G11" s="94">
        <f t="shared" si="1"/>
        <v>2.409113022897123E-2</v>
      </c>
      <c r="H11" s="94">
        <f t="shared" si="2"/>
        <v>2.1913316429864691E-2</v>
      </c>
    </row>
    <row r="12" spans="1:8" ht="14.25" customHeight="1" x14ac:dyDescent="0.45">
      <c r="B12" s="12" t="s">
        <v>308</v>
      </c>
      <c r="C12" s="89">
        <f>IFERROR(INDEX('01_Inputs'!D:D,MATCH("155",'01_Inputs'!C:C,0)),0)</f>
        <v>60251021462</v>
      </c>
      <c r="D12" s="89">
        <f>IFERROR(INDEX('01_Inputs'!E:E,MATCH("155",'01_Inputs'!C:C,0)),0)</f>
        <v>49413042824</v>
      </c>
      <c r="E12" s="89">
        <f>IFERROR(INDEX('01_Inputs'!F:F,MATCH("155",'01_Inputs'!C:C,0)),0)</f>
        <v>58450225920</v>
      </c>
      <c r="F12" s="94">
        <f t="shared" si="0"/>
        <v>2.9013847631151814E-2</v>
      </c>
      <c r="G12" s="94">
        <f t="shared" si="1"/>
        <v>2.5599547026654075E-2</v>
      </c>
      <c r="H12" s="94">
        <f t="shared" si="2"/>
        <v>2.3110161276562222E-2</v>
      </c>
    </row>
    <row r="13" spans="1:8" ht="14.25" customHeight="1" x14ac:dyDescent="0.45">
      <c r="B13" s="12" t="s">
        <v>309</v>
      </c>
      <c r="C13" s="89">
        <f>IFERROR(INDEX('01_Inputs'!D:D,MATCH("140",'01_Inputs'!C:C,0)),0)</f>
        <v>230582555144</v>
      </c>
      <c r="D13" s="89">
        <f>IFERROR(INDEX('01_Inputs'!E:E,MATCH("140",'01_Inputs'!C:C,0)),0)</f>
        <v>218749159456</v>
      </c>
      <c r="E13" s="89">
        <f>IFERROR(INDEX('01_Inputs'!F:F,MATCH("140",'01_Inputs'!C:C,0)),0)</f>
        <v>239364939489</v>
      </c>
      <c r="F13" s="94">
        <f t="shared" si="0"/>
        <v>0.11103690790651706</v>
      </c>
      <c r="G13" s="94">
        <f t="shared" si="1"/>
        <v>0.11332796109077201</v>
      </c>
      <c r="H13" s="94">
        <f t="shared" si="2"/>
        <v>9.4640564146263401E-2</v>
      </c>
    </row>
    <row r="14" spans="1:8" ht="14.25" customHeight="1" x14ac:dyDescent="0.45">
      <c r="B14" s="12" t="s">
        <v>310</v>
      </c>
      <c r="C14" s="89">
        <f>IFERROR(INDEX('01_Inputs'!D:D,MATCH("150",'01_Inputs'!C:C,0)),0)</f>
        <v>39694163986</v>
      </c>
      <c r="D14" s="89">
        <f>IFERROR(INDEX('01_Inputs'!E:E,MATCH("150",'01_Inputs'!C:C,0)),0)</f>
        <v>45107159373</v>
      </c>
      <c r="E14" s="89">
        <f>IFERROR(INDEX('01_Inputs'!F:F,MATCH("150",'01_Inputs'!C:C,0)),0)</f>
        <v>66704339629</v>
      </c>
      <c r="F14" s="94">
        <f t="shared" si="0"/>
        <v>1.9114703747589015E-2</v>
      </c>
      <c r="G14" s="94">
        <f t="shared" si="1"/>
        <v>2.3368786490659967E-2</v>
      </c>
      <c r="H14" s="94">
        <f t="shared" si="2"/>
        <v>2.6373688423080962E-2</v>
      </c>
    </row>
    <row r="15" spans="1:8" ht="14.25" customHeight="1" x14ac:dyDescent="0.45">
      <c r="B15" s="28" t="s">
        <v>311</v>
      </c>
      <c r="C15" s="90">
        <f>IFERROR(INDEX('01_Inputs'!D:D,MATCH("100",'01_Inputs'!C:C,0)),0)</f>
        <v>833749782499</v>
      </c>
      <c r="D15" s="90">
        <f>IFERROR(INDEX('01_Inputs'!E:E,MATCH("100",'01_Inputs'!C:C,0)),0)</f>
        <v>835183275843</v>
      </c>
      <c r="E15" s="90">
        <f>IFERROR(INDEX('01_Inputs'!F:F,MATCH("100",'01_Inputs'!C:C,0)),0)</f>
        <v>1108594044712</v>
      </c>
      <c r="F15" s="95">
        <f t="shared" si="0"/>
        <v>0.40149176835431144</v>
      </c>
      <c r="G15" s="95">
        <f t="shared" si="1"/>
        <v>0.43268562962152624</v>
      </c>
      <c r="H15" s="95">
        <f t="shared" si="2"/>
        <v>0.43831801777115786</v>
      </c>
    </row>
    <row r="16" spans="1:8" ht="14.25" customHeight="1" x14ac:dyDescent="0.45">
      <c r="B16" s="12" t="s">
        <v>312</v>
      </c>
      <c r="C16" s="89">
        <f>IFERROR(INDEX('01_Inputs'!D:D,MATCH("220",'01_Inputs'!C:C,0)),0)</f>
        <v>798732153906</v>
      </c>
      <c r="D16" s="89">
        <f>IFERROR(INDEX('01_Inputs'!E:E,MATCH("220",'01_Inputs'!C:C,0)),0)</f>
        <v>828896685347</v>
      </c>
      <c r="E16" s="89">
        <f>IFERROR(INDEX('01_Inputs'!F:F,MATCH("220",'01_Inputs'!C:C,0)),0)</f>
        <v>890389773268</v>
      </c>
      <c r="F16" s="94">
        <f t="shared" si="0"/>
        <v>0.38462904776056428</v>
      </c>
      <c r="G16" s="94">
        <f t="shared" si="1"/>
        <v>0.42942871889832135</v>
      </c>
      <c r="H16" s="94">
        <f t="shared" si="2"/>
        <v>0.35204399872446468</v>
      </c>
    </row>
    <row r="17" spans="1:9" ht="14.25" customHeight="1" x14ac:dyDescent="0.45">
      <c r="B17" s="7" t="s">
        <v>313</v>
      </c>
      <c r="C17" s="91">
        <f>IFERROR(INDEX('01_Inputs'!D:D,MATCH("210_240",'01_Inputs'!C:C,0)),0)+IFERROR(INDEX('01_Inputs'!D:D,MATCH("250",'01_Inputs'!C:C,0)),0)+IFERROR(INDEX('01_Inputs'!D:D,MATCH("260",'01_Inputs'!C:C,0)),0)</f>
        <v>444147893184</v>
      </c>
      <c r="D17" s="91">
        <f>IFERROR(INDEX('01_Inputs'!E:E,MATCH("210_240",'01_Inputs'!C:C,0)),0)+IFERROR(INDEX('01_Inputs'!E:E,MATCH("250",'01_Inputs'!C:C,0)),0)+IFERROR(INDEX('01_Inputs'!E:E,MATCH("260",'01_Inputs'!C:C,0)),0)</f>
        <v>266151178156</v>
      </c>
      <c r="E17" s="91">
        <f>IFERROR(INDEX('01_Inputs'!F:F,MATCH("210_240",'01_Inputs'!C:C,0)),0)+IFERROR(INDEX('01_Inputs'!F:F,MATCH("250",'01_Inputs'!C:C,0)),0)+IFERROR(INDEX('01_Inputs'!F:F,MATCH("260",'01_Inputs'!C:C,0)),0)</f>
        <v>530216442482</v>
      </c>
      <c r="F17" s="94">
        <f t="shared" si="0"/>
        <v>0.21387918388512428</v>
      </c>
      <c r="G17" s="94">
        <f t="shared" si="1"/>
        <v>0.13788565148015239</v>
      </c>
      <c r="H17" s="94">
        <f t="shared" si="2"/>
        <v>0.20963798350437748</v>
      </c>
    </row>
    <row r="18" spans="1:9" ht="14.25" customHeight="1" x14ac:dyDescent="0.45">
      <c r="B18" s="28" t="s">
        <v>314</v>
      </c>
      <c r="C18" s="90">
        <f>IFERROR(INDEX('01_Inputs'!D:D,MATCH("270",'01_Inputs'!C:C,0)),0)</f>
        <v>2076629829589</v>
      </c>
      <c r="D18" s="90">
        <f>IFERROR(INDEX('01_Inputs'!E:E,MATCH("270",'01_Inputs'!C:C,0)),0)</f>
        <v>1930231139346</v>
      </c>
      <c r="E18" s="90">
        <f>IFERROR(INDEX('01_Inputs'!F:F,MATCH("270",'01_Inputs'!C:C,0)),0)</f>
        <v>2529200260462</v>
      </c>
      <c r="F18" s="95">
        <f t="shared" si="0"/>
        <v>1</v>
      </c>
      <c r="G18" s="95">
        <f t="shared" si="1"/>
        <v>1</v>
      </c>
      <c r="H18" s="95">
        <f t="shared" si="2"/>
        <v>1</v>
      </c>
    </row>
    <row r="19" spans="1:9" ht="14.25" customHeight="1" x14ac:dyDescent="0.45">
      <c r="B19" s="12" t="s">
        <v>315</v>
      </c>
      <c r="C19" s="89">
        <f>IFERROR(INDEX('01_Inputs'!D:D,MATCH("331",'01_Inputs'!C:C,0)),0)</f>
        <v>126460714750</v>
      </c>
      <c r="D19" s="89">
        <f>IFERROR(INDEX('01_Inputs'!E:E,MATCH("331",'01_Inputs'!C:C,0)),0)</f>
        <v>151502988335</v>
      </c>
      <c r="E19" s="89">
        <f>IFERROR(INDEX('01_Inputs'!F:F,MATCH("331",'01_Inputs'!C:C,0)),0)</f>
        <v>183920068898</v>
      </c>
      <c r="F19" s="94">
        <f t="shared" si="0"/>
        <v>6.0897090539737027E-2</v>
      </c>
      <c r="G19" s="94">
        <f t="shared" si="1"/>
        <v>7.8489557673560362E-2</v>
      </c>
      <c r="H19" s="94">
        <f t="shared" si="2"/>
        <v>7.2718665964554341E-2</v>
      </c>
    </row>
    <row r="20" spans="1:9" ht="14.25" customHeight="1" x14ac:dyDescent="0.45">
      <c r="B20" s="12" t="s">
        <v>316</v>
      </c>
      <c r="C20" s="89">
        <f>IFERROR(INDEX('01_Inputs'!D:D,MATCH("341_short",'01_Inputs'!C:C,0)),0)</f>
        <v>448650974237</v>
      </c>
      <c r="D20" s="89">
        <f>IFERROR(INDEX('01_Inputs'!E:E,MATCH("341_short",'01_Inputs'!C:C,0)),0)</f>
        <v>244959596102</v>
      </c>
      <c r="E20" s="89">
        <f>IFERROR(INDEX('01_Inputs'!F:F,MATCH("341_short",'01_Inputs'!C:C,0)),0)</f>
        <v>235224392726</v>
      </c>
      <c r="F20" s="94">
        <f t="shared" si="0"/>
        <v>0.21604764019295417</v>
      </c>
      <c r="G20" s="94">
        <f t="shared" si="1"/>
        <v>0.12690687198477021</v>
      </c>
      <c r="H20" s="94">
        <f t="shared" si="2"/>
        <v>9.3003466907374266E-2</v>
      </c>
    </row>
    <row r="21" spans="1:9" ht="14.25" customHeight="1" x14ac:dyDescent="0.45">
      <c r="B21" s="12" t="s">
        <v>317</v>
      </c>
      <c r="C21" s="89">
        <f>IFERROR(INDEX('01_Inputs'!D:D,MATCH("338",'01_Inputs'!C:C,0)),0)</f>
        <v>14384186110</v>
      </c>
      <c r="D21" s="89">
        <f>IFERROR(INDEX('01_Inputs'!E:E,MATCH("338",'01_Inputs'!C:C,0)),0)</f>
        <v>29629176624</v>
      </c>
      <c r="E21" s="89">
        <f>IFERROR(INDEX('01_Inputs'!F:F,MATCH("338",'01_Inputs'!C:C,0)),0)</f>
        <v>61348516517</v>
      </c>
      <c r="F21" s="94">
        <f t="shared" si="0"/>
        <v>6.9266972404257877E-3</v>
      </c>
      <c r="G21" s="94">
        <f t="shared" si="1"/>
        <v>1.5350066642298054E-2</v>
      </c>
      <c r="H21" s="94">
        <f t="shared" si="2"/>
        <v>2.4256092914443115E-2</v>
      </c>
    </row>
    <row r="22" spans="1:9" ht="14.25" customHeight="1" x14ac:dyDescent="0.45">
      <c r="B22" s="28" t="s">
        <v>318</v>
      </c>
      <c r="C22" s="90">
        <f>IFERROR(INDEX('01_Inputs'!D:D,MATCH("310",'01_Inputs'!C:C,0)),0)</f>
        <v>666286577823</v>
      </c>
      <c r="D22" s="90">
        <f>IFERROR(INDEX('01_Inputs'!E:E,MATCH("310",'01_Inputs'!C:C,0)),0)</f>
        <v>511697586717</v>
      </c>
      <c r="E22" s="90">
        <f>IFERROR(INDEX('01_Inputs'!F:F,MATCH("310",'01_Inputs'!C:C,0)),0)</f>
        <v>608751653213</v>
      </c>
      <c r="F22" s="95">
        <f t="shared" si="0"/>
        <v>0.32084995040010061</v>
      </c>
      <c r="G22" s="95">
        <f t="shared" si="1"/>
        <v>0.26509653496232227</v>
      </c>
      <c r="H22" s="95">
        <f t="shared" si="2"/>
        <v>0.24068938420155053</v>
      </c>
    </row>
    <row r="23" spans="1:9" ht="14.25" customHeight="1" x14ac:dyDescent="0.45">
      <c r="B23" s="12" t="s">
        <v>319</v>
      </c>
      <c r="C23" s="89">
        <f>IFERROR(INDEX('01_Inputs'!D:D,MATCH("341_long",'01_Inputs'!C:C,0)),0)</f>
        <v>37125318428</v>
      </c>
      <c r="D23" s="89">
        <f>IFERROR(INDEX('01_Inputs'!E:E,MATCH("341_long",'01_Inputs'!C:C,0)),0)</f>
        <v>61987899319</v>
      </c>
      <c r="E23" s="89">
        <f>IFERROR(INDEX('01_Inputs'!F:F,MATCH("341_long",'01_Inputs'!C:C,0)),0)</f>
        <v>94845791840</v>
      </c>
      <c r="F23" s="94">
        <f t="shared" si="0"/>
        <v>1.7877677522983346E-2</v>
      </c>
      <c r="G23" s="94">
        <f t="shared" si="1"/>
        <v>3.2114236505376613E-2</v>
      </c>
      <c r="H23" s="94">
        <f t="shared" si="2"/>
        <v>3.7500309217378798E-2</v>
      </c>
    </row>
    <row r="24" spans="1:9" ht="14.25" customHeight="1" x14ac:dyDescent="0.45">
      <c r="B24" s="28" t="s">
        <v>320</v>
      </c>
      <c r="C24" s="90">
        <f>IFERROR(INDEX('01_Inputs'!D:D,MATCH("300",'01_Inputs'!C:C,0)),0)</f>
        <v>703411896251</v>
      </c>
      <c r="D24" s="90">
        <f>IFERROR(INDEX('01_Inputs'!E:E,MATCH("300",'01_Inputs'!C:C,0)),0)</f>
        <v>573685486036</v>
      </c>
      <c r="E24" s="90">
        <f>IFERROR(INDEX('01_Inputs'!F:F,MATCH("300",'01_Inputs'!C:C,0)),0)</f>
        <v>703597445053</v>
      </c>
      <c r="F24" s="95">
        <f t="shared" si="0"/>
        <v>0.33872762792308392</v>
      </c>
      <c r="G24" s="95">
        <f t="shared" si="1"/>
        <v>0.29721077146769886</v>
      </c>
      <c r="H24" s="95">
        <f t="shared" si="2"/>
        <v>0.27818969341892935</v>
      </c>
    </row>
    <row r="25" spans="1:9" ht="14.25" customHeight="1" x14ac:dyDescent="0.45">
      <c r="B25" s="28" t="s">
        <v>321</v>
      </c>
      <c r="C25" s="90">
        <f>IFERROR(INDEX('01_Inputs'!D:D,MATCH("400",'01_Inputs'!C:C,0)),0)</f>
        <v>1373217933338</v>
      </c>
      <c r="D25" s="90">
        <f>IFERROR(INDEX('01_Inputs'!E:E,MATCH("400",'01_Inputs'!C:C,0)),0)</f>
        <v>1356545653310</v>
      </c>
      <c r="E25" s="90">
        <f>IFERROR(INDEX('01_Inputs'!F:F,MATCH("400",'01_Inputs'!C:C,0)),0)</f>
        <v>1825602815409</v>
      </c>
      <c r="F25" s="95">
        <f t="shared" si="0"/>
        <v>0.66127237207691603</v>
      </c>
      <c r="G25" s="95">
        <f t="shared" si="1"/>
        <v>0.70278922853230119</v>
      </c>
      <c r="H25" s="95">
        <f t="shared" si="2"/>
        <v>0.7218103065810707</v>
      </c>
    </row>
    <row r="26" spans="1:9" ht="14.25" customHeight="1" x14ac:dyDescent="0.45">
      <c r="B26" s="9" t="s">
        <v>322</v>
      </c>
      <c r="C26" s="16">
        <f>C24+C25-C18</f>
        <v>0</v>
      </c>
      <c r="D26" s="16">
        <f>D24+D25-D18</f>
        <v>0</v>
      </c>
      <c r="E26" s="16">
        <f>E24+E25-E18</f>
        <v>0</v>
      </c>
    </row>
    <row r="27" spans="1:9" ht="14.25" customHeight="1" x14ac:dyDescent="0.45">
      <c r="B27" s="19" t="s">
        <v>323</v>
      </c>
      <c r="C27" s="29">
        <f>C15+C16+C17-C18</f>
        <v>0</v>
      </c>
      <c r="D27" s="29">
        <f>D15+D16+D17-D18</f>
        <v>0</v>
      </c>
      <c r="E27" s="29">
        <f>E15+E16+E17-E18</f>
        <v>0</v>
      </c>
      <c r="I27" s="26"/>
    </row>
    <row r="29" spans="1:9" ht="15" customHeight="1" x14ac:dyDescent="0.45">
      <c r="A29" s="55" t="s">
        <v>324</v>
      </c>
      <c r="B29" s="55"/>
      <c r="C29" s="55"/>
      <c r="D29" s="55"/>
      <c r="E29" s="55"/>
      <c r="F29" s="55"/>
      <c r="G29" s="55"/>
      <c r="H29" s="55"/>
    </row>
    <row r="30" spans="1:9" ht="14.25" customHeight="1" x14ac:dyDescent="0.45">
      <c r="B30" s="30" t="s">
        <v>325</v>
      </c>
      <c r="C30" s="92">
        <f>IFERROR(INDEX('01_Inputs'!D:D,MATCH("10",'01_Inputs'!C:C,0)),0)</f>
        <v>2039284758153</v>
      </c>
      <c r="D30" s="92">
        <f>IFERROR(INDEX('01_Inputs'!E:E,MATCH("10",'01_Inputs'!C:C,0)),0)</f>
        <v>2096905452640</v>
      </c>
      <c r="E30" s="92">
        <f>IFERROR(INDEX('01_Inputs'!F:F,MATCH("10",'01_Inputs'!C:C,0)),0)</f>
        <v>2311204952919</v>
      </c>
      <c r="F30" s="94">
        <f t="shared" ref="F30:F43" si="3">IFERROR(C30/C$30,0)</f>
        <v>1</v>
      </c>
      <c r="G30" s="94">
        <f t="shared" ref="G30:G43" si="4">IFERROR(D30/D$30,0)</f>
        <v>1</v>
      </c>
      <c r="H30" s="94">
        <f t="shared" ref="H30:H43" si="5">IFERROR(E30/E$30,0)</f>
        <v>1</v>
      </c>
    </row>
    <row r="31" spans="1:9" ht="14.25" customHeight="1" x14ac:dyDescent="0.45">
      <c r="B31" s="12" t="s">
        <v>326</v>
      </c>
      <c r="C31" s="92">
        <f>IFERROR(INDEX('01_Inputs'!D:D,MATCH("632",'01_Inputs'!C:C,0)),0)</f>
        <v>1736658116472</v>
      </c>
      <c r="D31" s="92">
        <f>IFERROR(INDEX('01_Inputs'!E:E,MATCH("632",'01_Inputs'!C:C,0)),0)</f>
        <v>1706260890180</v>
      </c>
      <c r="E31" s="92">
        <f>IFERROR(INDEX('01_Inputs'!F:F,MATCH("632",'01_Inputs'!C:C,0)),0)</f>
        <v>1912082184770</v>
      </c>
      <c r="F31" s="94">
        <f t="shared" si="3"/>
        <v>0.8516015772338279</v>
      </c>
      <c r="G31" s="94">
        <f t="shared" si="4"/>
        <v>0.81370425549317005</v>
      </c>
      <c r="H31" s="94">
        <f t="shared" si="5"/>
        <v>0.82730966042413634</v>
      </c>
    </row>
    <row r="32" spans="1:9" ht="14.25" customHeight="1" x14ac:dyDescent="0.45">
      <c r="B32" s="30" t="s">
        <v>327</v>
      </c>
      <c r="C32" s="92">
        <f>IFERROR(INDEX('01_Inputs'!D:D,MATCH("20",'01_Inputs'!C:C,0)),0)</f>
        <v>302626641681</v>
      </c>
      <c r="D32" s="92">
        <f>IFERROR(INDEX('01_Inputs'!E:E,MATCH("20",'01_Inputs'!C:C,0)),0)</f>
        <v>390644562460</v>
      </c>
      <c r="E32" s="92">
        <f>IFERROR(INDEX('01_Inputs'!F:F,MATCH("20",'01_Inputs'!C:C,0)),0)</f>
        <v>399122768149</v>
      </c>
      <c r="F32" s="94">
        <f t="shared" si="3"/>
        <v>0.14839842276617213</v>
      </c>
      <c r="G32" s="94">
        <f t="shared" si="4"/>
        <v>0.18629574450682992</v>
      </c>
      <c r="H32" s="94">
        <f t="shared" si="5"/>
        <v>0.17269033957586363</v>
      </c>
    </row>
    <row r="33" spans="1:9" ht="14.25" customHeight="1" x14ac:dyDescent="0.45">
      <c r="B33" s="12" t="s">
        <v>328</v>
      </c>
      <c r="C33" s="92">
        <f>IFERROR(INDEX('01_Inputs'!D:D,MATCH("641",'01_Inputs'!C:C,0)),0)</f>
        <v>92582404275</v>
      </c>
      <c r="D33" s="92">
        <f>IFERROR(INDEX('01_Inputs'!E:E,MATCH("641",'01_Inputs'!C:C,0)),0)</f>
        <v>129255674644</v>
      </c>
      <c r="E33" s="92">
        <f>IFERROR(INDEX('01_Inputs'!F:F,MATCH("641",'01_Inputs'!C:C,0)),0)</f>
        <v>133870768647</v>
      </c>
      <c r="F33" s="94">
        <f t="shared" si="3"/>
        <v>4.5399448951333694E-2</v>
      </c>
      <c r="G33" s="94">
        <f t="shared" si="4"/>
        <v>6.1641155294468501E-2</v>
      </c>
      <c r="H33" s="94">
        <f t="shared" si="5"/>
        <v>5.7922499896828371E-2</v>
      </c>
    </row>
    <row r="34" spans="1:9" ht="14.25" customHeight="1" x14ac:dyDescent="0.45">
      <c r="B34" s="12" t="s">
        <v>329</v>
      </c>
      <c r="C34" s="92">
        <f>IFERROR(INDEX('01_Inputs'!D:D,MATCH("642",'01_Inputs'!C:C,0)),0)</f>
        <v>73591545890</v>
      </c>
      <c r="D34" s="92">
        <f>IFERROR(INDEX('01_Inputs'!E:E,MATCH("642",'01_Inputs'!C:C,0)),0)</f>
        <v>83243116647</v>
      </c>
      <c r="E34" s="92">
        <f>IFERROR(INDEX('01_Inputs'!F:F,MATCH("642",'01_Inputs'!C:C,0)),0)</f>
        <v>100811309874</v>
      </c>
      <c r="F34" s="94">
        <f t="shared" si="3"/>
        <v>3.6086939597711004E-2</v>
      </c>
      <c r="G34" s="94">
        <f t="shared" si="4"/>
        <v>3.9698078204812276E-2</v>
      </c>
      <c r="H34" s="94">
        <f t="shared" si="5"/>
        <v>4.3618507197588675E-2</v>
      </c>
    </row>
    <row r="35" spans="1:9" ht="14.25" customHeight="1" x14ac:dyDescent="0.45">
      <c r="B35" s="12" t="s">
        <v>330</v>
      </c>
      <c r="C35" s="92">
        <f>IFERROR(INDEX('01_Inputs'!D:D,MATCH("515",'01_Inputs'!C:C,0)),0)</f>
        <v>36269307014</v>
      </c>
      <c r="D35" s="92">
        <f>IFERROR(INDEX('01_Inputs'!E:E,MATCH("515",'01_Inputs'!C:C,0)),0)</f>
        <v>32026200197</v>
      </c>
      <c r="E35" s="92">
        <f>IFERROR(INDEX('01_Inputs'!F:F,MATCH("515",'01_Inputs'!C:C,0)),0)</f>
        <v>35058145517</v>
      </c>
      <c r="F35" s="94">
        <f t="shared" si="3"/>
        <v>1.7785307750178773E-2</v>
      </c>
      <c r="G35" s="94">
        <f t="shared" si="4"/>
        <v>1.5273077837953578E-2</v>
      </c>
      <c r="H35" s="94">
        <f t="shared" si="5"/>
        <v>1.5168773964733135E-2</v>
      </c>
    </row>
    <row r="36" spans="1:9" ht="14.25" customHeight="1" x14ac:dyDescent="0.45">
      <c r="B36" s="12" t="s">
        <v>331</v>
      </c>
      <c r="C36" s="92">
        <f>IFERROR(INDEX('01_Inputs'!D:D,MATCH("635",'01_Inputs'!C:C,0)),0)</f>
        <v>50164360653</v>
      </c>
      <c r="D36" s="92">
        <f>IFERROR(INDEX('01_Inputs'!E:E,MATCH("635",'01_Inputs'!C:C,0)),0)</f>
        <v>32499247742</v>
      </c>
      <c r="E36" s="92">
        <f>IFERROR(INDEX('01_Inputs'!F:F,MATCH("635",'01_Inputs'!C:C,0)),0)</f>
        <v>37141382228</v>
      </c>
      <c r="F36" s="94">
        <f t="shared" si="3"/>
        <v>2.459899749284369E-2</v>
      </c>
      <c r="G36" s="94">
        <f t="shared" si="4"/>
        <v>1.5498671006403035E-2</v>
      </c>
      <c r="H36" s="94">
        <f t="shared" si="5"/>
        <v>1.6070137865138816E-2</v>
      </c>
    </row>
    <row r="37" spans="1:9" ht="14.25" customHeight="1" x14ac:dyDescent="0.45">
      <c r="B37" s="12" t="s">
        <v>332</v>
      </c>
      <c r="C37" s="92">
        <f>IFERROR(INDEX('01_Inputs'!D:D,MATCH("635_int",'01_Inputs'!C:C,0)),0)</f>
        <v>45942326390</v>
      </c>
      <c r="D37" s="92">
        <f>IFERROR(INDEX('01_Inputs'!E:E,MATCH("635_int",'01_Inputs'!C:C,0)),0)</f>
        <v>21203575185</v>
      </c>
      <c r="E37" s="92">
        <f>IFERROR(INDEX('01_Inputs'!F:F,MATCH("635_int",'01_Inputs'!C:C,0)),0)</f>
        <v>16100394821</v>
      </c>
      <c r="F37" s="94">
        <f t="shared" si="3"/>
        <v>2.2528646971112759E-2</v>
      </c>
      <c r="G37" s="94">
        <f t="shared" si="4"/>
        <v>1.0111841312780574E-2</v>
      </c>
      <c r="H37" s="94">
        <f t="shared" si="5"/>
        <v>6.9662341285075396E-3</v>
      </c>
    </row>
    <row r="38" spans="1:9" ht="14.25" customHeight="1" x14ac:dyDescent="0.45">
      <c r="B38" s="30" t="s">
        <v>333</v>
      </c>
      <c r="C38" s="92">
        <f>IFERROR(INDEX('01_Inputs'!D:D,MATCH("30",'01_Inputs'!C:C,0)),0)</f>
        <v>117070651554</v>
      </c>
      <c r="D38" s="92">
        <f>IFERROR(INDEX('01_Inputs'!E:E,MATCH("30",'01_Inputs'!C:C,0)),0)</f>
        <v>112348581626</v>
      </c>
      <c r="E38" s="92">
        <f>IFERROR(INDEX('01_Inputs'!F:F,MATCH("30",'01_Inputs'!C:C,0)),0)</f>
        <v>161010452347</v>
      </c>
      <c r="F38" s="94">
        <f t="shared" si="3"/>
        <v>5.7407701933707395E-2</v>
      </c>
      <c r="G38" s="94">
        <f t="shared" si="4"/>
        <v>5.3578277210616886E-2</v>
      </c>
      <c r="H38" s="94">
        <f t="shared" si="5"/>
        <v>6.9665155460854916E-2</v>
      </c>
    </row>
    <row r="39" spans="1:9" ht="14.25" customHeight="1" x14ac:dyDescent="0.45">
      <c r="B39" s="30" t="s">
        <v>334</v>
      </c>
      <c r="C39" s="92">
        <f>IFERROR(INDEX('01_Inputs'!D:D,MATCH("50",'01_Inputs'!C:C,0)),0)</f>
        <v>120543242466</v>
      </c>
      <c r="D39" s="92">
        <f>IFERROR(INDEX('01_Inputs'!E:E,MATCH("50",'01_Inputs'!C:C,0)),0)</f>
        <v>111470539520</v>
      </c>
      <c r="E39" s="92">
        <f>IFERROR(INDEX('01_Inputs'!F:F,MATCH("50",'01_Inputs'!C:C,0)),0)</f>
        <v>161883838293</v>
      </c>
      <c r="F39" s="94">
        <f t="shared" si="3"/>
        <v>5.9110549413990222E-2</v>
      </c>
      <c r="G39" s="94">
        <f t="shared" si="4"/>
        <v>5.3159544880604322E-2</v>
      </c>
      <c r="H39" s="94">
        <f t="shared" si="5"/>
        <v>7.0043047497169969E-2</v>
      </c>
    </row>
    <row r="40" spans="1:9" ht="14.25" customHeight="1" x14ac:dyDescent="0.45">
      <c r="B40" s="12" t="s">
        <v>335</v>
      </c>
      <c r="C40" s="92">
        <f>IFERROR(INDEX('01_Inputs'!D:D,MATCH("821",'01_Inputs'!C:C,0)),0)</f>
        <v>24299989429</v>
      </c>
      <c r="D40" s="92">
        <f>IFERROR(INDEX('01_Inputs'!E:E,MATCH("821",'01_Inputs'!C:C,0)),0)</f>
        <v>23615836329</v>
      </c>
      <c r="E40" s="92">
        <f>IFERROR(INDEX('01_Inputs'!F:F,MATCH("821",'01_Inputs'!C:C,0)),0)</f>
        <v>42255969091</v>
      </c>
      <c r="F40" s="94">
        <f t="shared" si="3"/>
        <v>1.1915937355903516E-2</v>
      </c>
      <c r="G40" s="94">
        <f t="shared" si="4"/>
        <v>1.1262232304879416E-2</v>
      </c>
      <c r="H40" s="94">
        <f t="shared" si="5"/>
        <v>1.8283090401667607E-2</v>
      </c>
    </row>
    <row r="41" spans="1:9" ht="14.25" customHeight="1" x14ac:dyDescent="0.45">
      <c r="B41" s="30" t="s">
        <v>336</v>
      </c>
      <c r="C41" s="92">
        <f>IFERROR(INDEX('01_Inputs'!D:D,MATCH("60",'01_Inputs'!C:C,0)),0)</f>
        <v>96243253037</v>
      </c>
      <c r="D41" s="92">
        <f>IFERROR(INDEX('01_Inputs'!E:E,MATCH("60",'01_Inputs'!C:C,0)),0)</f>
        <v>87854703191</v>
      </c>
      <c r="E41" s="92">
        <f>IFERROR(INDEX('01_Inputs'!F:F,MATCH("60",'01_Inputs'!C:C,0)),0)</f>
        <v>119627869202</v>
      </c>
      <c r="F41" s="94">
        <f t="shared" si="3"/>
        <v>4.7194612058086706E-2</v>
      </c>
      <c r="G41" s="94">
        <f t="shared" si="4"/>
        <v>4.1897312575724904E-2</v>
      </c>
      <c r="H41" s="94">
        <f t="shared" si="5"/>
        <v>5.1759957095502365E-2</v>
      </c>
    </row>
    <row r="42" spans="1:9" ht="14.25" customHeight="1" x14ac:dyDescent="0.45">
      <c r="B42" s="12" t="s">
        <v>337</v>
      </c>
      <c r="C42" s="92">
        <f>IFERROR(INDEX('01_Inputs'!D:D,MATCH("214_dep",'01_Inputs'!C:C,0)),0)</f>
        <v>110772493394</v>
      </c>
      <c r="D42" s="92">
        <f>IFERROR(INDEX('01_Inputs'!E:E,MATCH("214_dep",'01_Inputs'!C:C,0)),0)</f>
        <v>107615606434</v>
      </c>
      <c r="E42" s="92">
        <f>IFERROR(INDEX('01_Inputs'!F:F,MATCH("214_dep",'01_Inputs'!C:C,0)),0)</f>
        <v>115911638400</v>
      </c>
      <c r="F42" s="94">
        <f t="shared" si="3"/>
        <v>5.4319286676926731E-2</v>
      </c>
      <c r="G42" s="94">
        <f t="shared" si="4"/>
        <v>5.1321153416102834E-2</v>
      </c>
      <c r="H42" s="94">
        <f t="shared" si="5"/>
        <v>5.0152037902829086E-2</v>
      </c>
    </row>
    <row r="43" spans="1:9" ht="14.25" customHeight="1" x14ac:dyDescent="0.45">
      <c r="B43" s="30" t="s">
        <v>338</v>
      </c>
      <c r="C43" s="91">
        <f>INDEX('03_FS_Restated'!C:C,MATCH("Operating Profit",'03_FS_Restated'!B:B,0))+INDEX('03_FS_Restated'!C:C,MATCH("D&amp;A",'03_FS_Restated'!B:B,0))</f>
        <v>227843144948</v>
      </c>
      <c r="D43" s="91">
        <f>INDEX('03_FS_Restated'!D:D,MATCH("Operating Profit",'03_FS_Restated'!B:B,0))+INDEX('03_FS_Restated'!D:D,MATCH("D&amp;A",'03_FS_Restated'!B:B,0))</f>
        <v>219964188060</v>
      </c>
      <c r="E43" s="91">
        <f>INDEX('03_FS_Restated'!E:E,MATCH("Operating Profit",'03_FS_Restated'!B:B,0))+INDEX('03_FS_Restated'!E:E,MATCH("D&amp;A",'03_FS_Restated'!B:B,0))</f>
        <v>276922090747</v>
      </c>
      <c r="F43" s="94">
        <f t="shared" si="3"/>
        <v>0.11172698861063413</v>
      </c>
      <c r="G43" s="94">
        <f t="shared" si="4"/>
        <v>0.10489943062671972</v>
      </c>
      <c r="H43" s="94">
        <f t="shared" si="5"/>
        <v>0.119817193363684</v>
      </c>
      <c r="I43" s="26"/>
    </row>
    <row r="45" spans="1:9" ht="15" customHeight="1" x14ac:dyDescent="0.45">
      <c r="A45" s="55" t="s">
        <v>339</v>
      </c>
      <c r="B45" s="55"/>
      <c r="C45" s="55"/>
      <c r="D45" s="55"/>
      <c r="E45" s="55"/>
      <c r="F45" s="55"/>
      <c r="G45" s="55"/>
      <c r="H45" s="55"/>
    </row>
    <row r="46" spans="1:9" ht="14.25" customHeight="1" x14ac:dyDescent="0.45">
      <c r="B46" s="13" t="s">
        <v>340</v>
      </c>
      <c r="C46" s="93">
        <f>IFERROR(INDEX(C:C,MATCH("TOTAL CURRENT ASSETS",B:B,0))-INDEX(C:C,MATCH("TOTAL CURRENT LIABILITIES",B:B,0)),0)</f>
        <v>167463204676</v>
      </c>
      <c r="D46" s="93">
        <f>IFERROR(INDEX(D:D,MATCH("TOTAL CURRENT ASSETS",B:B,0))-INDEX(D:D,MATCH("TOTAL CURRENT LIABILITIES",B:B,0)),0)</f>
        <v>323485689126</v>
      </c>
      <c r="E46" s="93">
        <f>IFERROR(INDEX(E:E,MATCH("TOTAL CURRENT ASSETS",B:B,0))-INDEX(E:E,MATCH("TOTAL CURRENT LIABILITIES",B:B,0)),0)</f>
        <v>499842391499</v>
      </c>
    </row>
    <row r="47" spans="1:9" ht="14.25" customHeight="1" x14ac:dyDescent="0.45">
      <c r="B47" s="13" t="s">
        <v>341</v>
      </c>
      <c r="C47" s="93">
        <f>IFERROR(INDEX(C:C,MATCH("Accounts Receivable (AR)",B:B,0))+INDEX(C:C,MATCH("Inventory — Total",B:B,0))-INDEX(C:C,MATCH("Accounts Payable (AP)",B:B,0)),0)</f>
        <v>329820757905</v>
      </c>
      <c r="D47" s="93">
        <f>IFERROR(INDEX(D:D,MATCH("Accounts Receivable (AR)",B:B,0))+INDEX(D:D,MATCH("Inventory — Total",B:B,0))-INDEX(D:D,MATCH("Accounts Payable (AP)",B:B,0)),0)</f>
        <v>366099831206</v>
      </c>
      <c r="E47" s="93">
        <f>IFERROR(INDEX(E:E,MATCH("Accounts Receivable (AR)",B:B,0))+INDEX(E:E,MATCH("Inventory — Total",B:B,0))-INDEX(E:E,MATCH("Accounts Payable (AP)",B:B,0)),0)</f>
        <v>336486428368</v>
      </c>
    </row>
    <row r="49" spans="2:9" ht="14.25" customHeight="1" x14ac:dyDescent="0.45">
      <c r="B49" s="72" t="s">
        <v>342</v>
      </c>
      <c r="C49" s="72"/>
      <c r="D49" s="72"/>
      <c r="E49" s="72"/>
      <c r="F49" s="72"/>
      <c r="G49" s="72"/>
      <c r="H49" s="72"/>
      <c r="I49" s="72"/>
    </row>
    <row r="50" spans="2:9" ht="14.25" customHeight="1" x14ac:dyDescent="0.45">
      <c r="B50" s="88" t="s">
        <v>343</v>
      </c>
      <c r="C50" s="96">
        <f>IFERROR(INDEX('01_Inputs'!D:D,MATCH("250",'01_Inputs'!C:C,0)),0)</f>
        <v>299132386348</v>
      </c>
      <c r="D50" s="96">
        <f>IFERROR(INDEX('01_Inputs'!E:E,MATCH("250",'01_Inputs'!C:C,0)),0)</f>
        <v>117453931611</v>
      </c>
      <c r="E50" s="96">
        <f>IFERROR(INDEX('01_Inputs'!F:F,MATCH("250",'01_Inputs'!C:C,0)),0)</f>
        <v>58184439385</v>
      </c>
    </row>
    <row r="51" spans="2:9" ht="14.25" customHeight="1" x14ac:dyDescent="0.45">
      <c r="B51" s="88" t="s">
        <v>344</v>
      </c>
      <c r="C51" s="96">
        <f>IFERROR(INDEX('01_Inputs'!D:D,MATCH("210_240",'01_Inputs'!C:C,0)),0)</f>
        <v>7266648143</v>
      </c>
      <c r="D51" s="96">
        <f>IFERROR(INDEX('01_Inputs'!E:E,MATCH("210_240",'01_Inputs'!C:C,0)),0)</f>
        <v>6621174710</v>
      </c>
      <c r="E51" s="96">
        <f>IFERROR(INDEX('01_Inputs'!F:F,MATCH("210_240",'01_Inputs'!C:C,0)),0)</f>
        <v>284677722914</v>
      </c>
    </row>
    <row r="52" spans="2:9" ht="14.25" customHeight="1" x14ac:dyDescent="0.45">
      <c r="B52" s="88" t="s">
        <v>345</v>
      </c>
      <c r="C52" s="96">
        <f>IFERROR(INDEX('01_Inputs'!D:D,MATCH("131_advance",'01_Inputs'!C:C,0)),0)</f>
        <v>20890314563</v>
      </c>
      <c r="D52" s="96">
        <f>IFERROR(INDEX('01_Inputs'!E:E,MATCH("131_advance",'01_Inputs'!C:C,0)),0)</f>
        <v>11074253824</v>
      </c>
      <c r="E52" s="96">
        <f>IFERROR(INDEX('01_Inputs'!F:F,MATCH("131_advance",'01_Inputs'!C:C,0)),0)</f>
        <v>35223524344</v>
      </c>
    </row>
    <row r="53" spans="2:9" ht="14.25" customHeight="1" x14ac:dyDescent="0.45">
      <c r="B53" s="88" t="s">
        <v>346</v>
      </c>
      <c r="C53" s="96">
        <f>IFERROR(INDEX('01_Inputs'!D:D,MATCH("211",'01_Inputs'!C:C,0)),0)</f>
        <v>1605315062164</v>
      </c>
      <c r="D53" s="96">
        <f>IFERROR(INDEX('01_Inputs'!E:E,MATCH("211",'01_Inputs'!C:C,0)),0)</f>
        <v>1725104912204</v>
      </c>
      <c r="E53" s="96">
        <f>IFERROR(INDEX('01_Inputs'!F:F,MATCH("211",'01_Inputs'!C:C,0)),0)</f>
        <v>1876373107976</v>
      </c>
    </row>
  </sheetData>
  <mergeCells count="3">
    <mergeCell ref="A6:H6"/>
    <mergeCell ref="A29:H29"/>
    <mergeCell ref="A45:H4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49"/>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F18" sqref="F18"/>
    </sheetView>
  </sheetViews>
  <sheetFormatPr defaultColWidth="8.6640625" defaultRowHeight="14.25" x14ac:dyDescent="0.45"/>
  <cols>
    <col min="1" max="1" width="3" customWidth="1"/>
    <col min="2" max="2" width="42" customWidth="1"/>
    <col min="3" max="5" width="15" customWidth="1"/>
    <col min="6" max="6" width="30" customWidth="1"/>
    <col min="7" max="7" width="3" customWidth="1"/>
  </cols>
  <sheetData>
    <row r="2" spans="1:6" ht="18" customHeight="1" x14ac:dyDescent="0.45">
      <c r="B2" s="8" t="s">
        <v>347</v>
      </c>
    </row>
    <row r="3" spans="1:6" ht="26.75" customHeight="1" x14ac:dyDescent="0.45">
      <c r="B3" s="9" t="s">
        <v>348</v>
      </c>
    </row>
    <row r="5" spans="1:6" ht="14.25" customHeight="1" x14ac:dyDescent="0.45">
      <c r="A5" s="27"/>
      <c r="B5" s="27" t="s">
        <v>349</v>
      </c>
      <c r="C5" s="27" t="s">
        <v>28</v>
      </c>
      <c r="D5" s="27" t="s">
        <v>29</v>
      </c>
      <c r="E5" s="27" t="s">
        <v>30</v>
      </c>
      <c r="F5" s="27" t="s">
        <v>350</v>
      </c>
    </row>
    <row r="6" spans="1:6" ht="15" customHeight="1" x14ac:dyDescent="0.45">
      <c r="A6" s="55" t="s">
        <v>351</v>
      </c>
      <c r="B6" s="55"/>
      <c r="C6" s="55"/>
      <c r="D6" s="55"/>
      <c r="E6" s="55"/>
      <c r="F6" s="55"/>
    </row>
    <row r="7" spans="1:6" ht="14.25" customHeight="1" x14ac:dyDescent="0.45">
      <c r="B7" s="23" t="s">
        <v>352</v>
      </c>
      <c r="C7" s="97">
        <f>IFERROR((IFERROR(INDEX('03_FS_Restated'!C:C,MATCH("TOTAL CURRENT ASSETS",'03_FS_Restated'!B:B,0)),0))/(IFERROR(INDEX('03_FS_Restated'!C:C,MATCH("TOTAL CURRENT LIABILITIES",'03_FS_Restated'!B:B,0)),0)),0)</f>
        <v>1.2513381032275377</v>
      </c>
      <c r="D7" s="97">
        <f>IFERROR((IFERROR(INDEX('03_FS_Restated'!D:D,MATCH("TOTAL CURRENT ASSETS",'03_FS_Restated'!B:B,0)),0))/(IFERROR(INDEX('03_FS_Restated'!D:D,MATCH("TOTAL CURRENT LIABILITIES",'03_FS_Restated'!B:B,0)),0)),0)</f>
        <v>1.6321813851057057</v>
      </c>
      <c r="E7" s="97">
        <f>IFERROR((IFERROR(INDEX('03_FS_Restated'!E:E,MATCH("TOTAL CURRENT ASSETS",'03_FS_Restated'!B:B,0)),0))/(IFERROR(INDEX('03_FS_Restated'!E:E,MATCH("TOTAL CURRENT LIABILITIES",'03_FS_Restated'!B:B,0)),0)),0)</f>
        <v>1.8210941011179593</v>
      </c>
      <c r="F7" s="104" t="s">
        <v>353</v>
      </c>
    </row>
    <row r="8" spans="1:6" ht="14.25" customHeight="1" x14ac:dyDescent="0.45">
      <c r="B8" s="23" t="s">
        <v>354</v>
      </c>
      <c r="C8" s="97">
        <f>IFERROR((IFERROR(INDEX('03_FS_Restated'!C:C,MATCH("TOTAL CURRENT ASSETS",'03_FS_Restated'!B:B,0)),0)-IFERROR(INDEX('03_FS_Restated'!C:C,MATCH("Inventory — Total",'03_FS_Restated'!B:B,0)),0))/(IFERROR(INDEX('03_FS_Restated'!C:C,MATCH("TOTAL CURRENT LIABILITIES",'03_FS_Restated'!B:B,0)),0)),0)</f>
        <v>0.90526696384274496</v>
      </c>
      <c r="D8" s="97">
        <f>IFERROR((IFERROR(INDEX('03_FS_Restated'!D:D,MATCH("TOTAL CURRENT ASSETS",'03_FS_Restated'!B:B,0)),0)-IFERROR(INDEX('03_FS_Restated'!D:D,MATCH("Inventory — Total",'03_FS_Restated'!B:B,0)),0))/(IFERROR(INDEX('03_FS_Restated'!D:D,MATCH("TOTAL CURRENT LIABILITIES",'03_FS_Restated'!B:B,0)),0)),0)</f>
        <v>1.2046844315643133</v>
      </c>
      <c r="E8" s="97">
        <f>IFERROR((IFERROR(INDEX('03_FS_Restated'!E:E,MATCH("TOTAL CURRENT ASSETS",'03_FS_Restated'!B:B,0)),0)-IFERROR(INDEX('03_FS_Restated'!E:E,MATCH("Inventory — Total",'03_FS_Restated'!B:B,0)),0))/(IFERROR(INDEX('03_FS_Restated'!E:E,MATCH("TOTAL CURRENT LIABILITIES",'03_FS_Restated'!B:B,0)),0)),0)</f>
        <v>1.427887876172814</v>
      </c>
      <c r="F8" s="104" t="s">
        <v>355</v>
      </c>
    </row>
    <row r="9" spans="1:6" ht="14.25" customHeight="1" x14ac:dyDescent="0.45">
      <c r="B9" s="23" t="s">
        <v>356</v>
      </c>
      <c r="C9" s="97">
        <f>IFERROR((IFERROR(INDEX('03_FS_Restated'!C:C,MATCH("Cash and equivalents",'03_FS_Restated'!B:B,0)),0))/(IFERROR(INDEX('03_FS_Restated'!C:C,MATCH("TOTAL CURRENT LIABILITIES",'03_FS_Restated'!B:B,0)),0)),0)</f>
        <v>0.10256946475838329</v>
      </c>
      <c r="D9" s="97">
        <f>IFERROR((IFERROR(INDEX('03_FS_Restated'!D:D,MATCH("Cash and equivalents",'03_FS_Restated'!B:B,0)),0))/(IFERROR(INDEX('03_FS_Restated'!D:D,MATCH("TOTAL CURRENT LIABILITIES",'03_FS_Restated'!B:B,0)),0)),0)</f>
        <v>0.37512443995199107</v>
      </c>
      <c r="E9" s="97">
        <f>IFERROR((IFERROR(INDEX('03_FS_Restated'!E:E,MATCH("Cash and equivalents",'03_FS_Restated'!B:B,0)),0))/(IFERROR(INDEX('03_FS_Restated'!E:E,MATCH("TOTAL CURRENT LIABILITIES",'03_FS_Restated'!B:B,0)),0)),0)</f>
        <v>0.56906603163801006</v>
      </c>
      <c r="F9" s="104" t="s">
        <v>357</v>
      </c>
    </row>
    <row r="10" spans="1:6" ht="14.25" customHeight="1" x14ac:dyDescent="0.45">
      <c r="B10" s="23" t="s">
        <v>358</v>
      </c>
      <c r="C10" s="98">
        <f>IFERROR((IFERROR(INDEX('03_FS_Restated'!C:C,MATCH("Net Working Capital = CA − CL",'03_FS_Restated'!B:B,0)),0))/(IFERROR(INDEX('03_FS_Restated'!C:C,MATCH("Revenue (net)",'03_FS_Restated'!B:B,0)),0)),0)</f>
        <v>8.2118597712500463E-2</v>
      </c>
      <c r="D10" s="98">
        <f>IFERROR((IFERROR(INDEX('03_FS_Restated'!D:D,MATCH("Net Working Capital = CA − CL",'03_FS_Restated'!B:B,0)),0))/(IFERROR(INDEX('03_FS_Restated'!D:D,MATCH("Revenue (net)",'03_FS_Restated'!B:B,0)),0)),0)</f>
        <v>0.15426813293786429</v>
      </c>
      <c r="E10" s="98">
        <f>IFERROR((IFERROR(INDEX('03_FS_Restated'!E:E,MATCH("Net Working Capital = CA − CL",'03_FS_Restated'!B:B,0)),0))/(IFERROR(INDEX('03_FS_Restated'!E:E,MATCH("Revenue (net)",'03_FS_Restated'!B:B,0)),0)),0)</f>
        <v>0.21626917633060205</v>
      </c>
      <c r="F10" s="104" t="s">
        <v>359</v>
      </c>
    </row>
    <row r="12" spans="1:6" ht="15" customHeight="1" x14ac:dyDescent="0.45">
      <c r="A12" s="55" t="s">
        <v>360</v>
      </c>
      <c r="B12" s="55"/>
      <c r="C12" s="55"/>
      <c r="D12" s="55"/>
      <c r="E12" s="55"/>
      <c r="F12" s="55"/>
    </row>
    <row r="13" spans="1:6" ht="14.25" customHeight="1" x14ac:dyDescent="0.45">
      <c r="B13" s="23" t="s">
        <v>361</v>
      </c>
      <c r="C13" s="98">
        <f>IFERROR((IFERROR(INDEX('03_FS_Restated'!C:C,MATCH("Gross Profit",'03_FS_Restated'!B:B,0)),0))/(IFERROR(INDEX('03_FS_Restated'!C:C,MATCH("Revenue (net)",'03_FS_Restated'!B:B,0)),0)),0)</f>
        <v>0.14839842276617213</v>
      </c>
      <c r="D13" s="98">
        <f>IFERROR((IFERROR(INDEX('03_FS_Restated'!D:D,MATCH("Gross Profit",'03_FS_Restated'!B:B,0)),0))/(IFERROR(INDEX('03_FS_Restated'!D:D,MATCH("Revenue (net)",'03_FS_Restated'!B:B,0)),0)),0)</f>
        <v>0.18629574450682992</v>
      </c>
      <c r="E13" s="98">
        <f>IFERROR((IFERROR(INDEX('03_FS_Restated'!E:E,MATCH("Gross Profit",'03_FS_Restated'!B:B,0)),0))/(IFERROR(INDEX('03_FS_Restated'!E:E,MATCH("Revenue (net)",'03_FS_Restated'!B:B,0)),0)),0)</f>
        <v>0.17269033957586363</v>
      </c>
      <c r="F13" s="104" t="s">
        <v>362</v>
      </c>
    </row>
    <row r="14" spans="1:6" ht="14.25" customHeight="1" x14ac:dyDescent="0.45">
      <c r="B14" s="23" t="s">
        <v>363</v>
      </c>
      <c r="C14" s="98">
        <f>IFERROR((IFERROR(INDEX('03_FS_Restated'!C:C,MATCH("Operating Profit",'03_FS_Restated'!B:B,0)),0))/(IFERROR(INDEX('03_FS_Restated'!C:C,MATCH("Revenue (net)",'03_FS_Restated'!B:B,0)),0)),0)</f>
        <v>5.7407701933707395E-2</v>
      </c>
      <c r="D14" s="98">
        <f>IFERROR((IFERROR(INDEX('03_FS_Restated'!D:D,MATCH("Operating Profit",'03_FS_Restated'!B:B,0)),0))/(IFERROR(INDEX('03_FS_Restated'!D:D,MATCH("Revenue (net)",'03_FS_Restated'!B:B,0)),0)),0)</f>
        <v>5.3578277210616886E-2</v>
      </c>
      <c r="E14" s="98">
        <f>IFERROR((IFERROR(INDEX('03_FS_Restated'!E:E,MATCH("Operating Profit",'03_FS_Restated'!B:B,0)),0))/(IFERROR(INDEX('03_FS_Restated'!E:E,MATCH("Revenue (net)",'03_FS_Restated'!B:B,0)),0)),0)</f>
        <v>6.9665155460854916E-2</v>
      </c>
      <c r="F14" s="104"/>
    </row>
    <row r="15" spans="1:6" ht="14.25" customHeight="1" x14ac:dyDescent="0.45">
      <c r="B15" s="23" t="s">
        <v>364</v>
      </c>
      <c r="C15" s="98">
        <f>IFERROR((IFERROR(INDEX('03_FS_Restated'!C:C,MATCH("EBITDA",'03_FS_Restated'!B:B,0)),0))/(IFERROR(INDEX('03_FS_Restated'!C:C,MATCH("Revenue (net)",'03_FS_Restated'!B:B,0)),0)),0)</f>
        <v>0.11172698861063413</v>
      </c>
      <c r="D15" s="98">
        <f>IFERROR((IFERROR(INDEX('03_FS_Restated'!D:D,MATCH("EBITDA",'03_FS_Restated'!B:B,0)),0))/(IFERROR(INDEX('03_FS_Restated'!D:D,MATCH("Revenue (net)",'03_FS_Restated'!B:B,0)),0)),0)</f>
        <v>0.10489943062671972</v>
      </c>
      <c r="E15" s="98">
        <f>IFERROR((IFERROR(INDEX('03_FS_Restated'!E:E,MATCH("EBITDA",'03_FS_Restated'!B:B,0)),0))/(IFERROR(INDEX('03_FS_Restated'!E:E,MATCH("Revenue (net)",'03_FS_Restated'!B:B,0)),0)),0)</f>
        <v>0.119817193363684</v>
      </c>
      <c r="F15" s="104"/>
    </row>
    <row r="16" spans="1:6" ht="14.25" customHeight="1" x14ac:dyDescent="0.45">
      <c r="B16" s="23" t="s">
        <v>365</v>
      </c>
      <c r="C16" s="98">
        <f>IFERROR((IFERROR(INDEX('03_FS_Restated'!C:C,MATCH("Net Income",'03_FS_Restated'!B:B,0)),0))/(IFERROR(INDEX('03_FS_Restated'!C:C,MATCH("Revenue (net)",'03_FS_Restated'!B:B,0)),0)),0)</f>
        <v>4.7194612058086706E-2</v>
      </c>
      <c r="D16" s="98">
        <f>IFERROR((IFERROR(INDEX('03_FS_Restated'!D:D,MATCH("Net Income",'03_FS_Restated'!B:B,0)),0))/(IFERROR(INDEX('03_FS_Restated'!D:D,MATCH("Revenue (net)",'03_FS_Restated'!B:B,0)),0)),0)</f>
        <v>4.1897312575724904E-2</v>
      </c>
      <c r="E16" s="98">
        <f>IFERROR((IFERROR(INDEX('03_FS_Restated'!E:E,MATCH("Net Income",'03_FS_Restated'!B:B,0)),0))/(IFERROR(INDEX('03_FS_Restated'!E:E,MATCH("Revenue (net)",'03_FS_Restated'!B:B,0)),0)),0)</f>
        <v>5.1759957095502365E-2</v>
      </c>
      <c r="F16" s="104"/>
    </row>
    <row r="17" spans="1:6" ht="14.25" customHeight="1" x14ac:dyDescent="0.45">
      <c r="B17" s="23" t="s">
        <v>366</v>
      </c>
      <c r="C17" s="98">
        <f>IFERROR((IFERROR(INDEX('03_FS_Restated'!C:C,MATCH("Net Income",'03_FS_Restated'!B:B,0)),0))/(IFERROR(INDEX('03_FS_Restated'!C:C,MATCH("TOTAL ASSETS",'03_FS_Restated'!B:B,0)),0)),0)</f>
        <v>4.6345887777239608E-2</v>
      </c>
      <c r="D17" s="98">
        <f>IFERROR((IFERROR(INDEX('03_FS_Restated'!D:D,MATCH("Net Income",'03_FS_Restated'!B:B,0)),0))/((INDEX('03_FS_Restated'!D:D,MATCH("TOTAL ASSETS",'03_FS_Restated'!B:B,0))+INDEX('03_FS_Restated'!C:C,MATCH("TOTAL ASSETS",'03_FS_Restated'!B:B,0)))/2),0)</f>
        <v>4.3852134562258727E-2</v>
      </c>
      <c r="E17" s="98">
        <f>IFERROR((IFERROR(INDEX('03_FS_Restated'!E:E,MATCH("Net Income",'03_FS_Restated'!B:B,0)),0))/((INDEX('03_FS_Restated'!E:E,MATCH("TOTAL ASSETS",'03_FS_Restated'!B:B,0))+INDEX('03_FS_Restated'!D:D,MATCH("TOTAL ASSETS",'03_FS_Restated'!B:B,0)))/2),0)</f>
        <v>5.3651624378458003E-2</v>
      </c>
      <c r="F17" s="104"/>
    </row>
    <row r="18" spans="1:6" ht="14.25" customHeight="1" x14ac:dyDescent="0.45">
      <c r="B18" s="23" t="s">
        <v>367</v>
      </c>
      <c r="C18" s="98">
        <f>IFERROR((IFERROR(INDEX('03_FS_Restated'!C:C,MATCH("Net Income",'03_FS_Restated'!B:B,0)),0))/(IFERROR(INDEX('03_FS_Restated'!C:C,MATCH("TOTAL EQUITY",'03_FS_Restated'!B:B,0)),0)),0)</f>
        <v>7.0085927878216076E-2</v>
      </c>
      <c r="D18" s="98">
        <f>IFERROR((IFERROR(INDEX('03_FS_Restated'!D:D,MATCH("Net Income",'03_FS_Restated'!B:B,0)),0))/((INDEX('03_FS_Restated'!D:D,MATCH("TOTAL EQUITY",'03_FS_Restated'!B:B,0))+INDEX('03_FS_Restated'!C:C,MATCH("TOTAL EQUITY",'03_FS_Restated'!B:B,0)))/2),0)</f>
        <v>6.436799407884311E-2</v>
      </c>
      <c r="E18" s="98">
        <f>IFERROR((IFERROR(INDEX('03_FS_Restated'!E:E,MATCH("Net Income",'03_FS_Restated'!B:B,0)),0))/((INDEX('03_FS_Restated'!E:E,MATCH("TOTAL EQUITY",'03_FS_Restated'!B:B,0))+INDEX('03_FS_Restated'!D:D,MATCH("TOTAL EQUITY",'03_FS_Restated'!B:B,0)))/2),0)</f>
        <v>7.5186855910690548E-2</v>
      </c>
      <c r="F18" s="104"/>
    </row>
    <row r="19" spans="1:6" ht="14.25" customHeight="1" x14ac:dyDescent="0.45">
      <c r="B19" s="23" t="s">
        <v>368</v>
      </c>
      <c r="C19" s="98">
        <f>IFERROR((IFERROR(INDEX('03_FS_Restated'!C:C,MATCH("Operating Profit",'03_FS_Restated'!B:B,0)),0))*(1-INDEX('02_Assumptions'!C:C,MATCH("Tax rate for NOPAT (ROIC)",'02_Assumptions'!B:B,0)))/(((IFERROR(INDEX('03_FS_Restated'!C:C,MATCH("Short-term debt",'03_FS_Restated'!B:B,0)),0)+IFERROR(INDEX('03_FS_Restated'!C:C,MATCH("Long-term debt",'03_FS_Restated'!B:B,0)),0)))+(IFERROR(INDEX('03_FS_Restated'!C:C,MATCH("TOTAL EQUITY",'03_FS_Restated'!B:B,0)),0))),0)</f>
        <v>5.038021094049857E-2</v>
      </c>
      <c r="D19" s="98">
        <f>IFERROR((IFERROR(INDEX('03_FS_Restated'!D:D,MATCH("Operating Profit",'03_FS_Restated'!B:B,0)),0))*(1-INDEX('02_Assumptions'!C:C,MATCH("Tax rate for NOPAT (ROIC)",'02_Assumptions'!B:B,0)))/((((INDEX('03_FS_Restated'!D:D,MATCH("Short-term debt",'03_FS_Restated'!B:B,0))+INDEX('03_FS_Restated'!C:C,MATCH("Short-term debt",'03_FS_Restated'!B:B,0)))/2+(INDEX('03_FS_Restated'!D:D,MATCH("Long-term debt",'03_FS_Restated'!B:B,0))+INDEX('03_FS_Restated'!C:C,MATCH("Long-term debt",'03_FS_Restated'!B:B,0)))/2))+((INDEX('03_FS_Restated'!D:D,MATCH("TOTAL EQUITY",'03_FS_Restated'!B:B,0))+INDEX('03_FS_Restated'!C:C,MATCH("TOTAL EQUITY",'03_FS_Restated'!B:B,0)))/2)),0)</f>
        <v>5.1031476192352397E-2</v>
      </c>
      <c r="E19" s="98">
        <f>IFERROR((IFERROR(INDEX('03_FS_Restated'!E:E,MATCH("Operating Profit",'03_FS_Restated'!B:B,0)),0))*(1-INDEX('02_Assumptions'!C:C,MATCH("Tax rate for NOPAT (ROIC)",'02_Assumptions'!B:B,0)))/((((INDEX('03_FS_Restated'!E:E,MATCH("Short-term debt",'03_FS_Restated'!B:B,0))+INDEX('03_FS_Restated'!D:D,MATCH("Short-term debt",'03_FS_Restated'!B:B,0)))/2+(INDEX('03_FS_Restated'!E:E,MATCH("Long-term debt",'03_FS_Restated'!B:B,0))+INDEX('03_FS_Restated'!D:D,MATCH("Long-term debt",'03_FS_Restated'!B:B,0)))/2))+((INDEX('03_FS_Restated'!E:E,MATCH("TOTAL EQUITY",'03_FS_Restated'!B:B,0))+INDEX('03_FS_Restated'!D:D,MATCH("TOTAL EQUITY",'03_FS_Restated'!B:B,0)))/2)),0)</f>
        <v>6.7453657087551702E-2</v>
      </c>
      <c r="F19" s="104" t="s">
        <v>369</v>
      </c>
    </row>
    <row r="21" spans="1:6" ht="15" customHeight="1" x14ac:dyDescent="0.45">
      <c r="A21" s="55" t="s">
        <v>370</v>
      </c>
      <c r="B21" s="55"/>
      <c r="C21" s="55"/>
      <c r="D21" s="55"/>
      <c r="E21" s="55"/>
      <c r="F21" s="55"/>
    </row>
    <row r="22" spans="1:6" ht="14.25" customHeight="1" x14ac:dyDescent="0.45">
      <c r="B22" s="23" t="s">
        <v>371</v>
      </c>
      <c r="C22" s="97">
        <f>IFERROR((IFERROR(INDEX('03_FS_Restated'!C:C,MATCH("Revenue (net)",'03_FS_Restated'!B:B,0)),0))/(IFERROR(INDEX('03_FS_Restated'!C:C,MATCH("TOTAL ASSETS",'03_FS_Restated'!B:B,0)),0)),0)</f>
        <v>0.98201650053182987</v>
      </c>
      <c r="D22" s="97">
        <f>IFERROR((IFERROR(INDEX('03_FS_Restated'!D:D,MATCH("Revenue (net)",'03_FS_Restated'!B:B,0)),0))/((INDEX('03_FS_Restated'!D:D,MATCH("TOTAL ASSETS",'03_FS_Restated'!B:B,0))+INDEX('03_FS_Restated'!C:C,MATCH("TOTAL ASSETS",'03_FS_Restated'!B:B,0)))/2),0)</f>
        <v>1.0466574552484884</v>
      </c>
      <c r="E22" s="97">
        <f>IFERROR((IFERROR(INDEX('03_FS_Restated'!E:E,MATCH("Revenue (net)",'03_FS_Restated'!B:B,0)),0))/((INDEX('03_FS_Restated'!E:E,MATCH("TOTAL ASSETS",'03_FS_Restated'!B:B,0))+INDEX('03_FS_Restated'!D:D,MATCH("TOTAL ASSETS",'03_FS_Restated'!B:B,0)))/2),0)</f>
        <v>1.0365469252508328</v>
      </c>
      <c r="F22" s="24"/>
    </row>
    <row r="23" spans="1:6" ht="14.25" customHeight="1" x14ac:dyDescent="0.45">
      <c r="B23" s="23" t="s">
        <v>372</v>
      </c>
      <c r="C23" s="97">
        <f>IFERROR((IFERROR(INDEX('03_FS_Restated'!C:C,MATCH("Revenue (net)",'03_FS_Restated'!B:B,0)),0))/(IFERROR(INDEX('03_FS_Restated'!C:C,MATCH("Fixed Assets — Net",'03_FS_Restated'!B:B,0)),0)),0)</f>
        <v>2.5531522027508062</v>
      </c>
      <c r="D23" s="97">
        <f>IFERROR((IFERROR(INDEX('03_FS_Restated'!D:D,MATCH("Revenue (net)",'03_FS_Restated'!B:B,0)),0))/((INDEX('03_FS_Restated'!D:D,MATCH("Fixed Assets — Net",'03_FS_Restated'!B:B,0))+INDEX('03_FS_Restated'!C:C,MATCH("Fixed Assets — Net",'03_FS_Restated'!B:B,0)))/2),0)</f>
        <v>2.5766383613629928</v>
      </c>
      <c r="E23" s="97">
        <f>IFERROR((IFERROR(INDEX('03_FS_Restated'!E:E,MATCH("Revenue (net)",'03_FS_Restated'!B:B,0)),0))/((INDEX('03_FS_Restated'!E:E,MATCH("Fixed Assets — Net",'03_FS_Restated'!B:B,0))+INDEX('03_FS_Restated'!D:D,MATCH("Fixed Assets — Net",'03_FS_Restated'!B:B,0)))/2),0)</f>
        <v>2.6885629690596526</v>
      </c>
      <c r="F23" s="24"/>
    </row>
    <row r="24" spans="1:6" ht="14.25" customHeight="1" x14ac:dyDescent="0.45">
      <c r="B24" s="23" t="s">
        <v>373</v>
      </c>
      <c r="C24" s="97">
        <f>IFERROR((IFERROR(INDEX('03_FS_Restated'!C:C,MATCH("COGS",'03_FS_Restated'!B:B,0)),0))/(IFERROR(INDEX('03_FS_Restated'!C:C,MATCH("Inventory — Total",'03_FS_Restated'!B:B,0)),0)),0)</f>
        <v>7.531611033572978</v>
      </c>
      <c r="D24" s="97">
        <f>IFERROR((IFERROR(INDEX('03_FS_Restated'!D:D,MATCH("COGS",'03_FS_Restated'!B:B,0)),0))/((INDEX('03_FS_Restated'!D:D,MATCH("Inventory — Total",'03_FS_Restated'!B:B,0))+INDEX('03_FS_Restated'!C:C,MATCH("Inventory — Total",'03_FS_Restated'!B:B,0)))/2),0)</f>
        <v>7.5946604022773334</v>
      </c>
      <c r="E24" s="97">
        <f>IFERROR((IFERROR(INDEX('03_FS_Restated'!E:E,MATCH("COGS",'03_FS_Restated'!B:B,0)),0))/((INDEX('03_FS_Restated'!E:E,MATCH("Inventory — Total",'03_FS_Restated'!B:B,0))+INDEX('03_FS_Restated'!D:D,MATCH("Inventory — Total",'03_FS_Restated'!B:B,0)))/2),0)</f>
        <v>8.3476242672878733</v>
      </c>
      <c r="F24" s="24"/>
    </row>
    <row r="25" spans="1:6" ht="14.25" customHeight="1" x14ac:dyDescent="0.45">
      <c r="B25" s="23" t="s">
        <v>374</v>
      </c>
      <c r="C25" s="97">
        <f>IFERROR((IFERROR(INDEX('03_FS_Restated'!C:C,MATCH("Revenue (net)",'03_FS_Restated'!B:B,0)),0))/(IFERROR(INDEX('03_FS_Restated'!C:C,MATCH("Accounts Receivable (AR)",'03_FS_Restated'!B:B,0)),0)),0)</f>
        <v>9.0354210850550949</v>
      </c>
      <c r="D25" s="97">
        <f>IFERROR((IFERROR(INDEX('03_FS_Restated'!D:D,MATCH("Revenue (net)",'03_FS_Restated'!B:B,0)),0))/((INDEX('03_FS_Restated'!D:D,MATCH("Accounts Receivable (AR)",'03_FS_Restated'!B:B,0))+INDEX('03_FS_Restated'!C:C,MATCH("Accounts Receivable (AR)",'03_FS_Restated'!B:B,0)))/2),0)</f>
        <v>7.9950248733883642</v>
      </c>
      <c r="E25" s="97">
        <f>IFERROR((IFERROR(INDEX('03_FS_Restated'!E:E,MATCH("Revenue (net)",'03_FS_Restated'!B:B,0)),0))/((INDEX('03_FS_Restated'!E:E,MATCH("Accounts Receivable (AR)",'03_FS_Restated'!B:B,0))+INDEX('03_FS_Restated'!D:D,MATCH("Accounts Receivable (AR)",'03_FS_Restated'!B:B,0)))/2),0)</f>
        <v>7.9711123034955147</v>
      </c>
      <c r="F25" s="24"/>
    </row>
    <row r="26" spans="1:6" ht="14.25" customHeight="1" x14ac:dyDescent="0.45">
      <c r="B26" s="23" t="s">
        <v>375</v>
      </c>
      <c r="C26" s="97">
        <f>IFERROR((IFERROR(INDEX('03_FS_Restated'!C:C,MATCH("COGS",'03_FS_Restated'!B:B,0)),0))/(IFERROR(INDEX('03_FS_Restated'!C:C,MATCH("Accounts Payable (AP)",'03_FS_Restated'!B:B,0)),0)),0)</f>
        <v>13.732787450278112</v>
      </c>
      <c r="D26" s="97">
        <f>IFERROR((IFERROR(INDEX('03_FS_Restated'!D:D,MATCH("COGS",'03_FS_Restated'!B:B,0)),0))/((INDEX('03_FS_Restated'!D:D,MATCH("Accounts Payable (AP)",'03_FS_Restated'!B:B,0))+INDEX('03_FS_Restated'!C:C,MATCH("Accounts Payable (AP)",'03_FS_Restated'!B:B,0)))/2),0)</f>
        <v>12.27686112426149</v>
      </c>
      <c r="E26" s="97">
        <f>IFERROR((IFERROR(INDEX('03_FS_Restated'!E:E,MATCH("COGS",'03_FS_Restated'!B:B,0)),0))/((INDEX('03_FS_Restated'!E:E,MATCH("Accounts Payable (AP)",'03_FS_Restated'!B:B,0))+INDEX('03_FS_Restated'!D:D,MATCH("Accounts Payable (AP)",'03_FS_Restated'!B:B,0)))/2),0)</f>
        <v>11.40101816818026</v>
      </c>
      <c r="F26" s="24"/>
    </row>
    <row r="28" spans="1:6" ht="15" customHeight="1" x14ac:dyDescent="0.45">
      <c r="A28" s="55" t="s">
        <v>376</v>
      </c>
      <c r="B28" s="55"/>
      <c r="C28" s="55"/>
      <c r="D28" s="55"/>
      <c r="E28" s="55"/>
      <c r="F28" s="55"/>
    </row>
    <row r="29" spans="1:6" ht="14.25" customHeight="1" x14ac:dyDescent="0.45">
      <c r="B29" s="23" t="s">
        <v>377</v>
      </c>
      <c r="C29" s="98">
        <f>IFERROR(((IFERROR(INDEX('03_FS_Restated'!C:C,MATCH("Short-term debt",'03_FS_Restated'!B:B,0)),0)+IFERROR(INDEX('03_FS_Restated'!C:C,MATCH("Long-term debt",'03_FS_Restated'!B:B,0)),0)))/(IFERROR(INDEX('03_FS_Restated'!C:C,MATCH("TOTAL ASSETS",'03_FS_Restated'!B:B,0)),0)),0)</f>
        <v>0.23392531771593753</v>
      </c>
      <c r="D29" s="98">
        <f>IFERROR(((IFERROR(INDEX('03_FS_Restated'!D:D,MATCH("Short-term debt",'03_FS_Restated'!B:B,0)),0)+IFERROR(INDEX('03_FS_Restated'!D:D,MATCH("Long-term debt",'03_FS_Restated'!B:B,0)),0)))/(IFERROR(INDEX('03_FS_Restated'!D:D,MATCH("TOTAL ASSETS",'03_FS_Restated'!B:B,0)),0)),0)</f>
        <v>0.15902110849014683</v>
      </c>
      <c r="E29" s="98">
        <f>IFERROR(((IFERROR(INDEX('03_FS_Restated'!E:E,MATCH("Short-term debt",'03_FS_Restated'!B:B,0)),0)+IFERROR(INDEX('03_FS_Restated'!E:E,MATCH("Long-term debt",'03_FS_Restated'!B:B,0)),0)))/(IFERROR(INDEX('03_FS_Restated'!E:E,MATCH("TOTAL ASSETS",'03_FS_Restated'!B:B,0)),0)),0)</f>
        <v>0.13050377612475306</v>
      </c>
      <c r="F29" s="24"/>
    </row>
    <row r="30" spans="1:6" ht="14.25" customHeight="1" x14ac:dyDescent="0.45">
      <c r="B30" s="23" t="s">
        <v>378</v>
      </c>
      <c r="C30" s="97">
        <f>IFERROR(((IFERROR(INDEX('03_FS_Restated'!C:C,MATCH("Short-term debt",'03_FS_Restated'!B:B,0)),0)+IFERROR(INDEX('03_FS_Restated'!C:C,MATCH("Long-term debt",'03_FS_Restated'!B:B,0)),0)))/(IFERROR(INDEX('03_FS_Restated'!C:C,MATCH("TOTAL EQUITY",'03_FS_Restated'!B:B,0)),0)),0)</f>
        <v>0.35375032678475254</v>
      </c>
      <c r="D30" s="97">
        <f>IFERROR(((IFERROR(INDEX('03_FS_Restated'!D:D,MATCH("Short-term debt",'03_FS_Restated'!B:B,0)),0)+IFERROR(INDEX('03_FS_Restated'!D:D,MATCH("Long-term debt",'03_FS_Restated'!B:B,0)),0)))/(IFERROR(INDEX('03_FS_Restated'!D:D,MATCH("TOTAL EQUITY",'03_FS_Restated'!B:B,0)),0)),0)</f>
        <v>0.22627140831717801</v>
      </c>
      <c r="E30" s="97">
        <f>IFERROR(((IFERROR(INDEX('03_FS_Restated'!E:E,MATCH("Short-term debt",'03_FS_Restated'!B:B,0)),0)+IFERROR(INDEX('03_FS_Restated'!E:E,MATCH("Long-term debt",'03_FS_Restated'!B:B,0)),0)))/(IFERROR(INDEX('03_FS_Restated'!E:E,MATCH("TOTAL EQUITY",'03_FS_Restated'!B:B,0)),0)),0)</f>
        <v>0.18080065487412855</v>
      </c>
      <c r="F30" s="24"/>
    </row>
    <row r="31" spans="1:6" ht="14.25" customHeight="1" x14ac:dyDescent="0.45">
      <c r="B31" s="23" t="s">
        <v>379</v>
      </c>
      <c r="C31" s="97">
        <f>IFERROR((IFERROR(INDEX('03_FS_Restated'!C:C,MATCH("TOTAL ASSETS",'03_FS_Restated'!B:B,0)),0))/(IFERROR(INDEX('03_FS_Restated'!C:C,MATCH("TOTAL EQUITY",'03_FS_Restated'!B:B,0)),0)),0)</f>
        <v>1.5122361710942382</v>
      </c>
      <c r="D31" s="97">
        <f>IFERROR((IFERROR(INDEX('03_FS_Restated'!D:D,MATCH("TOTAL ASSETS",'03_FS_Restated'!B:B,0)),0))/(IFERROR(INDEX('03_FS_Restated'!D:D,MATCH("TOTAL EQUITY",'03_FS_Restated'!B:B,0)),0)),0)</f>
        <v>1.4229017170459359</v>
      </c>
      <c r="E31" s="97">
        <f>IFERROR((IFERROR(INDEX('03_FS_Restated'!E:E,MATCH("TOTAL ASSETS",'03_FS_Restated'!B:B,0)),0))/(IFERROR(INDEX('03_FS_Restated'!E:E,MATCH("TOTAL EQUITY",'03_FS_Restated'!B:B,0)),0)),0)</f>
        <v>1.3854055433713652</v>
      </c>
      <c r="F31" s="24"/>
    </row>
    <row r="32" spans="1:6" ht="14.25" customHeight="1" x14ac:dyDescent="0.45">
      <c r="B32" s="23" t="s">
        <v>380</v>
      </c>
      <c r="C32" s="97">
        <f>IFERROR((IFERROR(INDEX('03_FS_Restated'!C:C,MATCH("Operating Profit",'03_FS_Restated'!B:B,0)),0))/(IFERROR(INDEX('03_FS_Restated'!C:C,MATCH("  o/w Interest expense",'03_FS_Restated'!B:B,0)),0)),0)</f>
        <v>2.5482090427941868</v>
      </c>
      <c r="D32" s="97">
        <f>IFERROR((IFERROR(INDEX('03_FS_Restated'!D:D,MATCH("Operating Profit",'03_FS_Restated'!B:B,0)),0))/(IFERROR(INDEX('03_FS_Restated'!D:D,MATCH("  o/w Interest expense",'03_FS_Restated'!B:B,0)),0)),0)</f>
        <v>5.2985678427229814</v>
      </c>
      <c r="E32" s="97">
        <f>IFERROR((IFERROR(INDEX('03_FS_Restated'!E:E,MATCH("Operating Profit",'03_FS_Restated'!B:B,0)),0))/(IFERROR(INDEX('03_FS_Restated'!E:E,MATCH("  o/w Interest expense",'03_FS_Restated'!B:B,0)),0)),0)</f>
        <v>10.00040397375793</v>
      </c>
      <c r="F32" s="24"/>
    </row>
    <row r="34" spans="1:10" ht="15" customHeight="1" x14ac:dyDescent="0.45">
      <c r="A34" s="55" t="s">
        <v>381</v>
      </c>
      <c r="B34" s="55"/>
      <c r="C34" s="55"/>
      <c r="D34" s="55"/>
      <c r="E34" s="55"/>
      <c r="F34" s="55"/>
    </row>
    <row r="35" spans="1:10" ht="14.25" customHeight="1" x14ac:dyDescent="0.45">
      <c r="B35" s="9" t="s">
        <v>382</v>
      </c>
    </row>
    <row r="36" spans="1:10" ht="14.25" customHeight="1" x14ac:dyDescent="0.45">
      <c r="B36" s="23" t="s">
        <v>383</v>
      </c>
      <c r="C36" s="98">
        <f>IFERROR((IFERROR(INDEX('03_FS_Restated'!C:C,MATCH("Net Income",'03_FS_Restated'!B:B,0)),0))/(IFERROR(INDEX('03_FS_Restated'!C:C,MATCH("Revenue (net)",'03_FS_Restated'!B:B,0)),0)),0)</f>
        <v>4.7194612058086706E-2</v>
      </c>
      <c r="D36" s="98">
        <f>IFERROR((IFERROR(INDEX('03_FS_Restated'!D:D,MATCH("Net Income",'03_FS_Restated'!B:B,0)),0))/(IFERROR(INDEX('03_FS_Restated'!D:D,MATCH("Revenue (net)",'03_FS_Restated'!B:B,0)),0)),0)</f>
        <v>4.1897312575724904E-2</v>
      </c>
      <c r="E36" s="98">
        <f>IFERROR((IFERROR(INDEX('03_FS_Restated'!E:E,MATCH("Net Income",'03_FS_Restated'!B:B,0)),0))/(IFERROR(INDEX('03_FS_Restated'!E:E,MATCH("Revenue (net)",'03_FS_Restated'!B:B,0)),0)),0)</f>
        <v>5.1759957095502365E-2</v>
      </c>
    </row>
    <row r="37" spans="1:10" ht="14.25" customHeight="1" x14ac:dyDescent="0.45">
      <c r="B37" s="23" t="s">
        <v>384</v>
      </c>
      <c r="C37" s="97">
        <f>IFERROR((IFERROR(INDEX('03_FS_Restated'!C:C,MATCH("Revenue (net)",'03_FS_Restated'!B:B,0)),0))/(IFERROR(INDEX('03_FS_Restated'!C:C,MATCH("TOTAL ASSETS",'03_FS_Restated'!B:B,0)),0)),0)</f>
        <v>0.98201650053182987</v>
      </c>
      <c r="D37" s="97">
        <f>IFERROR((IFERROR(INDEX('03_FS_Restated'!D:D,MATCH("Revenue (net)",'03_FS_Restated'!B:B,0)),0))/((INDEX('03_FS_Restated'!D:D,MATCH("TOTAL ASSETS",'03_FS_Restated'!B:B,0))+INDEX('03_FS_Restated'!C:C,MATCH("TOTAL ASSETS",'03_FS_Restated'!B:B,0)))/2),0)</f>
        <v>1.0466574552484884</v>
      </c>
      <c r="E37" s="97">
        <f>IFERROR((IFERROR(INDEX('03_FS_Restated'!E:E,MATCH("Revenue (net)",'03_FS_Restated'!B:B,0)),0))/((INDEX('03_FS_Restated'!E:E,MATCH("TOTAL ASSETS",'03_FS_Restated'!B:B,0))+INDEX('03_FS_Restated'!D:D,MATCH("TOTAL ASSETS",'03_FS_Restated'!B:B,0)))/2),0)</f>
        <v>1.0365469252508328</v>
      </c>
    </row>
    <row r="38" spans="1:10" ht="14.25" customHeight="1" x14ac:dyDescent="0.45">
      <c r="B38" s="23" t="s">
        <v>385</v>
      </c>
      <c r="C38" s="97">
        <f>IFERROR((IFERROR(INDEX('03_FS_Restated'!C:C,MATCH("TOTAL ASSETS",'03_FS_Restated'!B:B,0)),0))/(IFERROR(INDEX('03_FS_Restated'!C:C,MATCH("TOTAL EQUITY",'03_FS_Restated'!B:B,0)),0)),0)</f>
        <v>1.5122361710942382</v>
      </c>
      <c r="D38" s="97">
        <f>IFERROR(((INDEX('03_FS_Restated'!D:D,MATCH("TOTAL ASSETS",'03_FS_Restated'!B:B,0))+INDEX('03_FS_Restated'!C:C,MATCH("TOTAL ASSETS",'03_FS_Restated'!B:B,0)))/2)/((INDEX('03_FS_Restated'!D:D,MATCH("TOTAL EQUITY",'03_FS_Restated'!B:B,0))+INDEX('03_FS_Restated'!C:C,MATCH("TOTAL EQUITY",'03_FS_Restated'!B:B,0)))/2),0)</f>
        <v>1.4678417532322663</v>
      </c>
      <c r="E38" s="97">
        <f>IFERROR(((INDEX('03_FS_Restated'!E:E,MATCH("TOTAL ASSETS",'03_FS_Restated'!B:B,0))+INDEX('03_FS_Restated'!D:D,MATCH("TOTAL ASSETS",'03_FS_Restated'!B:B,0)))/2)/((INDEX('03_FS_Restated'!E:E,MATCH("TOTAL EQUITY",'03_FS_Restated'!B:B,0))+INDEX('03_FS_Restated'!D:D,MATCH("TOTAL EQUITY",'03_FS_Restated'!B:B,0)))/2),0)</f>
        <v>1.401390112260595</v>
      </c>
    </row>
    <row r="39" spans="1:10" ht="14.25" customHeight="1" x14ac:dyDescent="0.45">
      <c r="B39" s="32" t="s">
        <v>386</v>
      </c>
      <c r="C39" s="98">
        <f>C36*C37*C38</f>
        <v>7.0085927878216076E-2</v>
      </c>
      <c r="D39" s="98">
        <f>D36*D37*D38</f>
        <v>6.4367994078843097E-2</v>
      </c>
      <c r="E39" s="98">
        <f>E36*E37*E38</f>
        <v>7.5186855910690534E-2</v>
      </c>
    </row>
    <row r="40" spans="1:10" ht="14.25" customHeight="1" x14ac:dyDescent="0.45">
      <c r="B40" s="32" t="s">
        <v>387</v>
      </c>
      <c r="C40" s="98">
        <f>IFERROR((IFERROR(INDEX('03_FS_Restated'!C:C,MATCH("Net Income",'03_FS_Restated'!B:B,0)),0))/(IFERROR(INDEX('03_FS_Restated'!C:C,MATCH("TOTAL EQUITY",'03_FS_Restated'!B:B,0)),0)),0)</f>
        <v>7.0085927878216076E-2</v>
      </c>
      <c r="D40" s="98">
        <f>IFERROR((IFERROR(INDEX('03_FS_Restated'!D:D,MATCH("Net Income",'03_FS_Restated'!B:B,0)),0))/((INDEX('03_FS_Restated'!D:D,MATCH("TOTAL EQUITY",'03_FS_Restated'!B:B,0))+INDEX('03_FS_Restated'!C:C,MATCH("TOTAL EQUITY",'03_FS_Restated'!B:B,0)))/2),0)</f>
        <v>6.436799407884311E-2</v>
      </c>
      <c r="E40" s="98">
        <f>IFERROR((IFERROR(INDEX('03_FS_Restated'!E:E,MATCH("Net Income",'03_FS_Restated'!B:B,0)),0))/((INDEX('03_FS_Restated'!E:E,MATCH("TOTAL EQUITY",'03_FS_Restated'!B:B,0))+INDEX('03_FS_Restated'!D:D,MATCH("TOTAL EQUITY",'03_FS_Restated'!B:B,0)))/2),0)</f>
        <v>7.5186855910690548E-2</v>
      </c>
    </row>
    <row r="42" spans="1:10" ht="14.25" customHeight="1" x14ac:dyDescent="0.45">
      <c r="B42" s="87" t="s">
        <v>388</v>
      </c>
      <c r="C42" s="59"/>
      <c r="D42" s="59"/>
      <c r="E42" s="59"/>
      <c r="F42" s="59"/>
      <c r="G42" s="59"/>
      <c r="H42" s="59"/>
      <c r="I42" s="59"/>
      <c r="J42" s="59"/>
    </row>
    <row r="43" spans="1:10" ht="14.25" customHeight="1" x14ac:dyDescent="0.45">
      <c r="B43" s="99" t="s">
        <v>389</v>
      </c>
      <c r="C43" s="99" t="s">
        <v>28</v>
      </c>
      <c r="D43" s="99" t="s">
        <v>29</v>
      </c>
      <c r="E43" s="99" t="s">
        <v>30</v>
      </c>
      <c r="F43" s="99" t="s">
        <v>233</v>
      </c>
      <c r="G43" s="59"/>
      <c r="H43" s="59"/>
      <c r="I43" s="59"/>
      <c r="J43" s="59"/>
    </row>
    <row r="44" spans="1:10" ht="14.25" customHeight="1" x14ac:dyDescent="0.45">
      <c r="B44" s="88" t="s">
        <v>390</v>
      </c>
      <c r="C44" s="101">
        <f>INDEX('03_FS_Restated'!C:C,MATCH("Short-term debt",'03_FS_Restated'!B:B,0))+INDEX('03_FS_Restated'!C:C,MATCH("Long-term debt",'03_FS_Restated'!B:B,0))</f>
        <v>485776292665</v>
      </c>
      <c r="D44" s="101">
        <f>INDEX('03_FS_Restated'!D:D,MATCH("Short-term debt",'03_FS_Restated'!B:B,0))+INDEX('03_FS_Restated'!D:D,MATCH("Long-term debt",'03_FS_Restated'!B:B,0))</f>
        <v>306947495421</v>
      </c>
      <c r="E44" s="101">
        <f>INDEX('03_FS_Restated'!E:E,MATCH("Short-term debt",'03_FS_Restated'!B:B,0))+INDEX('03_FS_Restated'!E:E,MATCH("Long-term debt",'03_FS_Restated'!B:B,0))</f>
        <v>330070184566</v>
      </c>
      <c r="F44" s="100"/>
      <c r="G44" s="59"/>
      <c r="H44" s="59"/>
      <c r="I44" s="59"/>
      <c r="J44" s="59"/>
    </row>
    <row r="45" spans="1:10" ht="14.25" customHeight="1" x14ac:dyDescent="0.45">
      <c r="B45" s="88" t="s">
        <v>391</v>
      </c>
      <c r="C45" s="101">
        <f>C44</f>
        <v>485776292665</v>
      </c>
      <c r="D45" s="101">
        <f>(D44+C44)/2</f>
        <v>396361894043</v>
      </c>
      <c r="E45" s="101">
        <f>(E44+D44)/2</f>
        <v>318508839993.5</v>
      </c>
      <c r="F45" s="59"/>
      <c r="G45" s="59"/>
      <c r="H45" s="59"/>
      <c r="I45" s="59"/>
      <c r="J45" s="59"/>
    </row>
    <row r="46" spans="1:10" ht="14.25" customHeight="1" x14ac:dyDescent="0.45">
      <c r="B46" s="88" t="s">
        <v>392</v>
      </c>
      <c r="C46" s="103">
        <f>IFERROR(INDEX('03_FS_Restated'!C:C,MATCH("  o/w Interest expense",'03_FS_Restated'!B:B,0))/C45,0)</f>
        <v>9.4575068984856056E-2</v>
      </c>
      <c r="D46" s="103">
        <f>IFERROR(INDEX('03_FS_Restated'!D:D,MATCH("  o/w Interest expense",'03_FS_Restated'!B:B,0))/D45,0)</f>
        <v>5.3495493647781625E-2</v>
      </c>
      <c r="E46" s="103">
        <f>IFERROR(INDEX('03_FS_Restated'!E:E,MATCH("  o/w Interest expense",'03_FS_Restated'!B:B,0))/E45,0)</f>
        <v>5.0549287176232124E-2</v>
      </c>
      <c r="F46" s="100"/>
      <c r="G46" s="59"/>
      <c r="H46" s="59"/>
      <c r="I46" s="59"/>
      <c r="J46" s="59"/>
    </row>
    <row r="47" spans="1:10" ht="14.25" customHeight="1" x14ac:dyDescent="0.45">
      <c r="B47" s="88" t="s">
        <v>393</v>
      </c>
      <c r="C47" s="102">
        <f>IFERROR(INDEX('03_FS_Restated'!C:C,MATCH("Tax expense",'03_FS_Restated'!B:B,0))/INDEX('03_FS_Restated'!C:C,MATCH("EBT",'03_FS_Restated'!B:B,0)),0)</f>
        <v>0.20158732195920454</v>
      </c>
      <c r="D47" s="102">
        <f>IFERROR(INDEX('03_FS_Restated'!D:D,MATCH("Tax expense",'03_FS_Restated'!B:B,0))/INDEX('03_FS_Restated'!D:D,MATCH("EBT",'03_FS_Restated'!B:B,0)),0)</f>
        <v>0.21185719949586193</v>
      </c>
      <c r="E47" s="102">
        <f>IFERROR(INDEX('03_FS_Restated'!E:E,MATCH("Tax expense",'03_FS_Restated'!B:B,0))/INDEX('03_FS_Restated'!E:E,MATCH("EBT",'03_FS_Restated'!B:B,0)),0)</f>
        <v>0.26102648378350923</v>
      </c>
      <c r="F47" s="100"/>
      <c r="G47" s="59"/>
      <c r="H47" s="59"/>
      <c r="I47" s="59"/>
      <c r="J47" s="59"/>
    </row>
    <row r="49" spans="2:6" ht="45.75" customHeight="1" x14ac:dyDescent="0.45">
      <c r="B49" s="53"/>
      <c r="C49" s="53"/>
      <c r="D49" s="53"/>
      <c r="E49" s="53"/>
      <c r="F49" s="53"/>
    </row>
  </sheetData>
  <mergeCells count="6">
    <mergeCell ref="B49:F49"/>
    <mergeCell ref="A6:F6"/>
    <mergeCell ref="A12:F12"/>
    <mergeCell ref="A21:F21"/>
    <mergeCell ref="A28:F28"/>
    <mergeCell ref="A34:F3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52"/>
  <sheetViews>
    <sheetView showGridLines="0" zoomScaleNormal="100" workbookViewId="0">
      <pane xSplit="2" ySplit="5" topLeftCell="C6" activePane="bottomRight" state="frozen"/>
      <selection activeCell="D10" sqref="D10"/>
      <selection pane="topRight" activeCell="D10" sqref="D10"/>
      <selection pane="bottomLeft" activeCell="D10" sqref="D10"/>
      <selection pane="bottomRight" activeCell="F8" sqref="F8"/>
    </sheetView>
  </sheetViews>
  <sheetFormatPr defaultColWidth="8.6640625" defaultRowHeight="14.25" x14ac:dyDescent="0.45"/>
  <cols>
    <col min="1" max="1" width="3" customWidth="1"/>
    <col min="2" max="2" width="42" customWidth="1"/>
    <col min="3" max="5" width="15.86328125" customWidth="1"/>
    <col min="6" max="6" width="30" customWidth="1"/>
    <col min="7" max="7" width="3" customWidth="1"/>
  </cols>
  <sheetData>
    <row r="2" spans="1:6" ht="18" customHeight="1" x14ac:dyDescent="0.45">
      <c r="B2" s="8" t="s">
        <v>394</v>
      </c>
    </row>
    <row r="3" spans="1:6" ht="23.25" customHeight="1" x14ac:dyDescent="0.45">
      <c r="B3" s="9"/>
    </row>
    <row r="5" spans="1:6" ht="14.25" customHeight="1" x14ac:dyDescent="0.45">
      <c r="A5" s="27"/>
      <c r="B5" s="27" t="s">
        <v>389</v>
      </c>
      <c r="C5" s="27" t="s">
        <v>28</v>
      </c>
      <c r="D5" s="27" t="s">
        <v>29</v>
      </c>
      <c r="E5" s="27" t="s">
        <v>30</v>
      </c>
      <c r="F5" s="27" t="s">
        <v>233</v>
      </c>
    </row>
    <row r="6" spans="1:6" ht="15" customHeight="1" x14ac:dyDescent="0.45">
      <c r="A6" s="55" t="s">
        <v>395</v>
      </c>
      <c r="B6" s="55"/>
      <c r="C6" s="55"/>
      <c r="D6" s="55"/>
      <c r="E6" s="55"/>
      <c r="F6" s="55"/>
    </row>
    <row r="7" spans="1:6" ht="14.25" customHeight="1" x14ac:dyDescent="0.45">
      <c r="B7" s="12" t="s">
        <v>325</v>
      </c>
      <c r="C7" s="89">
        <f>IFERROR(IFERROR(INDEX('03_FS_Restated'!C:C,MATCH("Revenue (net)",'03_FS_Restated'!B:B,0)),0),0)</f>
        <v>2039284758153</v>
      </c>
      <c r="D7" s="89">
        <f>IFERROR(IFERROR(INDEX('03_FS_Restated'!D:D,MATCH("Revenue (net)",'03_FS_Restated'!B:B,0)),0),0)</f>
        <v>2096905452640</v>
      </c>
      <c r="E7" s="89">
        <f>IFERROR(IFERROR(INDEX('03_FS_Restated'!E:E,MATCH("Revenue (net)",'03_FS_Restated'!B:B,0)),0),0)</f>
        <v>2311204952919</v>
      </c>
    </row>
    <row r="8" spans="1:6" ht="14.25" customHeight="1" x14ac:dyDescent="0.45">
      <c r="B8" s="12" t="s">
        <v>326</v>
      </c>
      <c r="C8" s="89">
        <f>IFERROR(IFERROR(INDEX('03_FS_Restated'!C:C,MATCH("COGS",'03_FS_Restated'!B:B,0)),0),0)</f>
        <v>1736658116472</v>
      </c>
      <c r="D8" s="89">
        <f>IFERROR(IFERROR(INDEX('03_FS_Restated'!D:D,MATCH("COGS",'03_FS_Restated'!B:B,0)),0),0)</f>
        <v>1706260890180</v>
      </c>
      <c r="E8" s="89">
        <f>IFERROR(IFERROR(INDEX('03_FS_Restated'!E:E,MATCH("COGS",'03_FS_Restated'!B:B,0)),0),0)</f>
        <v>1912082184770</v>
      </c>
    </row>
    <row r="9" spans="1:6" ht="14.25" customHeight="1" x14ac:dyDescent="0.45">
      <c r="B9" s="12" t="s">
        <v>396</v>
      </c>
      <c r="C9" s="105">
        <f>IFERROR(INDEX('02_Assumptions'!C:C,MATCH("Days per year",'02_Assumptions'!B:B,0)),365)</f>
        <v>365</v>
      </c>
      <c r="D9" s="105">
        <f>IFERROR(INDEX('02_Assumptions'!C:C,MATCH("Days per year",'02_Assumptions'!B:B,0)),365)</f>
        <v>365</v>
      </c>
      <c r="E9" s="105">
        <f>IFERROR(INDEX('02_Assumptions'!C:C,MATCH("Days per year",'02_Assumptions'!B:B,0)),365)</f>
        <v>365</v>
      </c>
    </row>
    <row r="10" spans="1:6" ht="14.25" customHeight="1" x14ac:dyDescent="0.45">
      <c r="B10" s="12" t="s">
        <v>397</v>
      </c>
      <c r="C10" s="106">
        <f>IFERROR((INDEX('03_FS_Restated'!C:C,MATCH("Accounts Receivable (AR)",'03_FS_Restated'!B:B,0))+C41)/2,0)</f>
        <v>288150748852</v>
      </c>
      <c r="D10" s="89">
        <f>IFERROR((INDEX('03_FS_Restated'!D:D,MATCH("Accounts Receivable (AR)",'03_FS_Restated'!B:B,0))+INDEX('03_FS_Restated'!C:C,MATCH("Accounts Receivable (AR)",'03_FS_Restated'!B:B,0)))/2,0)</f>
        <v>262276288798</v>
      </c>
      <c r="E10" s="89">
        <f>IFERROR((INDEX('03_FS_Restated'!E:E,MATCH("Accounts Receivable (AR)",'03_FS_Restated'!B:B,0))+INDEX('03_FS_Restated'!D:D,MATCH("Accounts Receivable (AR)",'03_FS_Restated'!B:B,0)))/2,0)</f>
        <v>289947608931</v>
      </c>
    </row>
    <row r="11" spans="1:6" ht="14.25" customHeight="1" x14ac:dyDescent="0.45">
      <c r="B11" s="12" t="s">
        <v>398</v>
      </c>
      <c r="C11" s="89">
        <f>IFERROR(IFERROR(INDEX('03_FS_Restated'!C:C,MATCH("Inventory — Raw Material (NVL)",'03_FS_Restated'!B:B,0)),0),0)</f>
        <v>110619487264</v>
      </c>
      <c r="D11" s="89">
        <f>IFERROR((INDEX('03_FS_Restated'!D:D,MATCH("Inventory — Raw Material (NVL)",'03_FS_Restated'!B:B,0))+INDEX('03_FS_Restated'!C:C,MATCH("Inventory — Raw Material (NVL)",'03_FS_Restated'!B:B,0)))/2,0)</f>
        <v>110118508542</v>
      </c>
      <c r="E11" s="89">
        <f>IFERROR((INDEX('03_FS_Restated'!E:E,MATCH("Inventory — Raw Material (NVL)",'03_FS_Restated'!B:B,0))+INDEX('03_FS_Restated'!D:D,MATCH("Inventory — Raw Material (NVL)",'03_FS_Restated'!B:B,0)))/2,0)</f>
        <v>109379695046.5</v>
      </c>
    </row>
    <row r="12" spans="1:6" ht="14.25" customHeight="1" x14ac:dyDescent="0.45">
      <c r="B12" s="12" t="s">
        <v>399</v>
      </c>
      <c r="C12" s="89">
        <f>IFERROR(IFERROR(INDEX('03_FS_Restated'!C:C,MATCH("Inventory — Work in Progress (WIP)",'03_FS_Restated'!B:B,0)),0),0)</f>
        <v>49989085832</v>
      </c>
      <c r="D12" s="89">
        <f>IFERROR((INDEX('03_FS_Restated'!D:D,MATCH("Inventory — Work in Progress (WIP)",'03_FS_Restated'!B:B,0))+INDEX('03_FS_Restated'!C:C,MATCH("Inventory — Work in Progress (WIP)",'03_FS_Restated'!B:B,0)))/2,0)</f>
        <v>48245267791</v>
      </c>
      <c r="E12" s="89">
        <f>IFERROR((INDEX('03_FS_Restated'!E:E,MATCH("Inventory — Work in Progress (WIP)",'03_FS_Restated'!B:B,0))+INDEX('03_FS_Restated'!D:D,MATCH("Inventory — Work in Progress (WIP)",'03_FS_Restated'!B:B,0)))/2,0)</f>
        <v>50962307686</v>
      </c>
    </row>
    <row r="13" spans="1:6" ht="14.25" customHeight="1" x14ac:dyDescent="0.45">
      <c r="B13" s="12" t="s">
        <v>400</v>
      </c>
      <c r="C13" s="89">
        <f>IFERROR(IFERROR(INDEX('03_FS_Restated'!C:C,MATCH("Inventory — Finished Goods (FG)",'03_FS_Restated'!B:B,0)),0),0)</f>
        <v>60251021462</v>
      </c>
      <c r="D13" s="89">
        <f>IFERROR((INDEX('03_FS_Restated'!D:D,MATCH("Inventory — Finished Goods (FG)",'03_FS_Restated'!B:B,0))+INDEX('03_FS_Restated'!C:C,MATCH("Inventory — Finished Goods (FG)",'03_FS_Restated'!B:B,0)))/2,0)</f>
        <v>54832032143</v>
      </c>
      <c r="E13" s="89">
        <f>IFERROR((INDEX('03_FS_Restated'!E:E,MATCH("Inventory — Finished Goods (FG)",'03_FS_Restated'!B:B,0))+INDEX('03_FS_Restated'!D:D,MATCH("Inventory — Finished Goods (FG)",'03_FS_Restated'!B:B,0)))/2,0)</f>
        <v>53931634372</v>
      </c>
    </row>
    <row r="14" spans="1:6" ht="14.25" customHeight="1" x14ac:dyDescent="0.45">
      <c r="B14" s="12" t="s">
        <v>401</v>
      </c>
      <c r="C14" s="106">
        <f>IFERROR((INDEX('03_FS_Restated'!C:C,MATCH("Inventory — Total",'03_FS_Restated'!B:B,0))+C42)/2,0)</f>
        <v>298588965802</v>
      </c>
      <c r="D14" s="89">
        <f>IFERROR((INDEX('03_FS_Restated'!D:D,MATCH("Inventory — Total",'03_FS_Restated'!B:B,0))+INDEX('03_FS_Restated'!C:C,MATCH("Inventory — Total",'03_FS_Restated'!B:B,0)))/2,0)</f>
        <v>224665857300</v>
      </c>
      <c r="E14" s="89">
        <f>IFERROR((INDEX('03_FS_Restated'!E:E,MATCH("Inventory — Total",'03_FS_Restated'!B:B,0))+INDEX('03_FS_Restated'!D:D,MATCH("Inventory — Total",'03_FS_Restated'!B:B,0)))/2,0)</f>
        <v>229057049472.5</v>
      </c>
    </row>
    <row r="15" spans="1:6" ht="14.25" customHeight="1" x14ac:dyDescent="0.45">
      <c r="B15" s="12" t="s">
        <v>402</v>
      </c>
      <c r="C15" s="106">
        <f>IFERROR((INDEX('03_FS_Restated'!C:C,MATCH("Accounts Payable (AP)",'03_FS_Restated'!B:B,0))+C43)/2,0)</f>
        <v>202079127428.5</v>
      </c>
      <c r="D15" s="89">
        <f>IFERROR((INDEX('03_FS_Restated'!D:D,MATCH("Accounts Payable (AP)",'03_FS_Restated'!B:B,0))+INDEX('03_FS_Restated'!C:C,MATCH("Accounts Payable (AP)",'03_FS_Restated'!B:B,0)))/2,0)</f>
        <v>138981851542.5</v>
      </c>
      <c r="E15" s="89">
        <f>IFERROR((INDEX('03_FS_Restated'!E:E,MATCH("Accounts Payable (AP)",'03_FS_Restated'!B:B,0))+INDEX('03_FS_Restated'!D:D,MATCH("Accounts Payable (AP)",'03_FS_Restated'!B:B,0)))/2,0)</f>
        <v>167711528616.5</v>
      </c>
    </row>
    <row r="17" spans="1:6" ht="15" customHeight="1" x14ac:dyDescent="0.45">
      <c r="A17" s="55" t="s">
        <v>403</v>
      </c>
      <c r="B17" s="55"/>
      <c r="C17" s="55"/>
      <c r="D17" s="55"/>
      <c r="E17" s="55"/>
      <c r="F17" s="55"/>
    </row>
    <row r="18" spans="1:6" ht="14.25" customHeight="1" x14ac:dyDescent="0.45">
      <c r="B18" s="108" t="s">
        <v>404</v>
      </c>
      <c r="C18" s="111">
        <f>IFERROR(C10/C7*C9,0)</f>
        <v>51.574466444910833</v>
      </c>
      <c r="D18" s="111">
        <f>IFERROR(D10/D7*D9,0)</f>
        <v>45.653391425323946</v>
      </c>
      <c r="E18" s="111">
        <f>IFERROR(E10/E7*E9,0)</f>
        <v>45.790347206617469</v>
      </c>
      <c r="F18" s="24"/>
    </row>
    <row r="19" spans="1:6" ht="14.25" customHeight="1" x14ac:dyDescent="0.45">
      <c r="B19" s="108" t="s">
        <v>405</v>
      </c>
      <c r="C19" s="111">
        <f>IFERROR(C11/C8*C9,0)</f>
        <v>23.249315722189227</v>
      </c>
      <c r="D19" s="111">
        <f>IFERROR(D11/D8*D9,0)</f>
        <v>23.55633646012355</v>
      </c>
      <c r="E19" s="111">
        <f>IFERROR(E11/E8*E9,0)</f>
        <v>20.879640535312461</v>
      </c>
      <c r="F19" s="24"/>
    </row>
    <row r="20" spans="1:6" ht="14.25" customHeight="1" x14ac:dyDescent="0.45">
      <c r="B20" s="108" t="s">
        <v>406</v>
      </c>
      <c r="C20" s="111">
        <f>IFERROR(C12/C8*C9,0)</f>
        <v>10.506395101959711</v>
      </c>
      <c r="D20" s="111">
        <f>IFERROR(D12/D8*D9,0)</f>
        <v>10.320533539192418</v>
      </c>
      <c r="E20" s="111">
        <f>IFERROR(E12/E8*E9,0)</f>
        <v>9.7282650576170191</v>
      </c>
      <c r="F20" s="24"/>
    </row>
    <row r="21" spans="1:6" ht="14.25" customHeight="1" x14ac:dyDescent="0.45">
      <c r="B21" s="108" t="s">
        <v>407</v>
      </c>
      <c r="C21" s="111">
        <f>IFERROR(C13/C8*C9,0)</f>
        <v>12.663184898076379</v>
      </c>
      <c r="D21" s="111">
        <f>IFERROR(D13/D8*D9,0)</f>
        <v>11.729561315845245</v>
      </c>
      <c r="E21" s="111">
        <f>IFERROR(E13/E8*E9,0)</f>
        <v>10.295083915625661</v>
      </c>
      <c r="F21" s="24"/>
    </row>
    <row r="22" spans="1:6" ht="14.25" customHeight="1" x14ac:dyDescent="0.45">
      <c r="B22" s="108" t="s">
        <v>408</v>
      </c>
      <c r="C22" s="111">
        <f>IFERROR(C14/C8*C9,0)</f>
        <v>62.755571453022462</v>
      </c>
      <c r="D22" s="111">
        <f>IFERROR(D14/D8*D9,0)</f>
        <v>48.060081776737661</v>
      </c>
      <c r="E22" s="111">
        <f>IFERROR(E14/E8*E9,0)</f>
        <v>43.725015443057039</v>
      </c>
      <c r="F22" s="24"/>
    </row>
    <row r="23" spans="1:6" ht="14.25" customHeight="1" x14ac:dyDescent="0.45">
      <c r="B23" s="108" t="s">
        <v>409</v>
      </c>
      <c r="C23" s="111">
        <f>IFERROR(C15/C8*C9,0)</f>
        <v>42.471733965256661</v>
      </c>
      <c r="D23" s="111">
        <f>IFERROR(D15/D8*D9,0)</f>
        <v>29.730726470358803</v>
      </c>
      <c r="E23" s="111">
        <f>IFERROR(E15/E8*E9,0)</f>
        <v>32.014684532184937</v>
      </c>
      <c r="F23" s="24"/>
    </row>
    <row r="24" spans="1:6" ht="14.25" customHeight="1" x14ac:dyDescent="0.45">
      <c r="B24" s="109" t="s">
        <v>410</v>
      </c>
      <c r="C24" s="112">
        <f>C18+C22-C23</f>
        <v>71.858303932676634</v>
      </c>
      <c r="D24" s="112">
        <f>D18+D22-D23</f>
        <v>63.982746731702804</v>
      </c>
      <c r="E24" s="112">
        <f>E18+E22-E23</f>
        <v>57.500678117489564</v>
      </c>
      <c r="F24" s="34"/>
    </row>
    <row r="26" spans="1:6" ht="15" customHeight="1" x14ac:dyDescent="0.45">
      <c r="A26" s="55" t="s">
        <v>411</v>
      </c>
      <c r="B26" s="55"/>
      <c r="C26" s="55"/>
      <c r="D26" s="55"/>
      <c r="E26" s="55"/>
      <c r="F26" s="55"/>
    </row>
    <row r="27" spans="1:6" ht="14.25" customHeight="1" x14ac:dyDescent="0.45">
      <c r="B27" s="107" t="s">
        <v>412</v>
      </c>
      <c r="C27" s="93">
        <f>IFERROR(C7/C9,0)</f>
        <v>5587081529.1863012</v>
      </c>
      <c r="D27" s="93">
        <f>IFERROR(D7/D9,0)</f>
        <v>5744946445.5890408</v>
      </c>
      <c r="E27" s="93">
        <f>IFERROR(E7/E9,0)</f>
        <v>6332068364.161644</v>
      </c>
      <c r="F27" s="9"/>
    </row>
    <row r="28" spans="1:6" ht="23.25" customHeight="1" x14ac:dyDescent="0.45">
      <c r="B28" s="107" t="s">
        <v>413</v>
      </c>
      <c r="C28" s="93">
        <f>C24*C27</f>
        <v>401478202620.91296</v>
      </c>
      <c r="D28" s="93">
        <f>D24*D27</f>
        <v>367577453415.31982</v>
      </c>
      <c r="E28" s="93">
        <f>E24*E27</f>
        <v>364098224825.59735</v>
      </c>
      <c r="F28" s="9"/>
    </row>
    <row r="30" spans="1:6" ht="15" customHeight="1" x14ac:dyDescent="0.45">
      <c r="A30" s="55" t="s">
        <v>414</v>
      </c>
      <c r="B30" s="55"/>
      <c r="C30" s="55"/>
      <c r="D30" s="55"/>
      <c r="E30" s="55"/>
      <c r="F30" s="55"/>
    </row>
    <row r="31" spans="1:6" ht="15" customHeight="1" x14ac:dyDescent="0.45">
      <c r="B31" s="1" t="s">
        <v>415</v>
      </c>
      <c r="C31" s="56" t="s">
        <v>416</v>
      </c>
      <c r="D31" s="56"/>
      <c r="E31" s="56"/>
      <c r="F31" s="1" t="s">
        <v>233</v>
      </c>
    </row>
    <row r="32" spans="1:6" ht="14.25" customHeight="1" x14ac:dyDescent="0.45">
      <c r="B32" s="23" t="s">
        <v>417</v>
      </c>
      <c r="C32" s="113">
        <f>INDEX('02_Assumptions'!C:C,MATCH("∆CCC scenario 3 (days)",'02_Assumptions'!B:B,0))</f>
        <v>-15</v>
      </c>
      <c r="D32" s="114">
        <f>-C32*E27</f>
        <v>94981025462.424652</v>
      </c>
      <c r="E32" s="114"/>
      <c r="F32" s="24" t="s">
        <v>418</v>
      </c>
    </row>
    <row r="33" spans="2:6" ht="14.25" customHeight="1" x14ac:dyDescent="0.45">
      <c r="B33" s="23" t="s">
        <v>419</v>
      </c>
      <c r="C33" s="113">
        <f>INDEX('02_Assumptions'!C:C,MATCH("∆CCC scenario 2 (days)",'02_Assumptions'!B:B,0))</f>
        <v>-10</v>
      </c>
      <c r="D33" s="114">
        <f>-C33*E27</f>
        <v>63320683641.61644</v>
      </c>
      <c r="E33" s="114"/>
      <c r="F33" s="24" t="s">
        <v>420</v>
      </c>
    </row>
    <row r="34" spans="2:6" ht="14.25" customHeight="1" x14ac:dyDescent="0.45">
      <c r="B34" s="23" t="s">
        <v>421</v>
      </c>
      <c r="C34" s="113">
        <f>INDEX('02_Assumptions'!C:C,MATCH("∆CCC scenario 1 (days)",'02_Assumptions'!B:B,0))</f>
        <v>-5</v>
      </c>
      <c r="D34" s="114">
        <f>-C34*E27</f>
        <v>31660341820.80822</v>
      </c>
      <c r="E34" s="114"/>
      <c r="F34" s="24" t="s">
        <v>422</v>
      </c>
    </row>
    <row r="35" spans="2:6" ht="14.25" customHeight="1" x14ac:dyDescent="0.45">
      <c r="B35" s="23" t="s">
        <v>423</v>
      </c>
      <c r="C35" s="113">
        <f>0</f>
        <v>0</v>
      </c>
      <c r="D35" s="114">
        <f>-C35*E27</f>
        <v>0</v>
      </c>
      <c r="E35" s="114"/>
      <c r="F35" s="24" t="s">
        <v>424</v>
      </c>
    </row>
    <row r="36" spans="2:6" ht="14.25" customHeight="1" x14ac:dyDescent="0.45">
      <c r="B36" s="23" t="s">
        <v>425</v>
      </c>
      <c r="C36" s="113">
        <f>INDEX('02_Assumptions'!C:C,MATCH("∆CCC scenario 4 (days)",'02_Assumptions'!B:B,0))</f>
        <v>5</v>
      </c>
      <c r="D36" s="114">
        <f>-C36*E27</f>
        <v>-31660341820.80822</v>
      </c>
      <c r="E36" s="114"/>
      <c r="F36" s="24" t="s">
        <v>426</v>
      </c>
    </row>
    <row r="39" spans="2:6" ht="14.25" customHeight="1" x14ac:dyDescent="0.45">
      <c r="B39" s="121" t="s">
        <v>427</v>
      </c>
      <c r="C39" s="122"/>
    </row>
    <row r="40" spans="2:6" ht="14.25" customHeight="1" x14ac:dyDescent="0.45">
      <c r="B40" s="33" t="s">
        <v>428</v>
      </c>
      <c r="C40" s="33" t="s">
        <v>429</v>
      </c>
    </row>
    <row r="41" spans="2:6" ht="14.25" customHeight="1" x14ac:dyDescent="0.45">
      <c r="B41" s="110" t="s">
        <v>430</v>
      </c>
      <c r="C41" s="115">
        <v>350602580193</v>
      </c>
    </row>
    <row r="42" spans="2:6" ht="14.25" customHeight="1" x14ac:dyDescent="0.45">
      <c r="B42" s="110" t="s">
        <v>431</v>
      </c>
      <c r="C42" s="115">
        <v>366595376460</v>
      </c>
    </row>
    <row r="43" spans="2:6" ht="14.25" customHeight="1" x14ac:dyDescent="0.45">
      <c r="B43" s="110" t="s">
        <v>432</v>
      </c>
      <c r="C43" s="115">
        <v>277697540107</v>
      </c>
    </row>
    <row r="45" spans="2:6" ht="21.75" customHeight="1" x14ac:dyDescent="0.45"/>
    <row r="47" spans="2:6" ht="14.25" customHeight="1" x14ac:dyDescent="0.45">
      <c r="B47" s="25" t="s">
        <v>433</v>
      </c>
    </row>
    <row r="48" spans="2:6" ht="14.25" customHeight="1" x14ac:dyDescent="0.45">
      <c r="B48" s="33" t="s">
        <v>389</v>
      </c>
      <c r="C48" s="33" t="s">
        <v>28</v>
      </c>
      <c r="D48" s="33" t="s">
        <v>29</v>
      </c>
      <c r="E48" s="33" t="s">
        <v>30</v>
      </c>
      <c r="F48" s="33"/>
    </row>
    <row r="49" spans="2:6" ht="14.25" customHeight="1" x14ac:dyDescent="0.45">
      <c r="B49" s="31" t="s">
        <v>434</v>
      </c>
      <c r="C49" s="120">
        <f>C8+(INDEX('03_FS_Restated'!C:C,MATCH("Inventory — Total",'03_FS_Restated'!B:B,0))-C42)</f>
        <v>1600645295156</v>
      </c>
      <c r="D49" s="120">
        <f>D8+(INDEX('03_FS_Restated'!D:D,MATCH("Inventory — Total",'03_FS_Restated'!B:B,0))-INDEX('03_FS_Restated'!C:C,MATCH("Inventory — Total",'03_FS_Restated'!B:B,0)))</f>
        <v>1694427494492</v>
      </c>
      <c r="E49" s="120">
        <f>E8+(INDEX('03_FS_Restated'!E:E,MATCH("Inventory — Total",'03_FS_Restated'!B:B,0))-INDEX('03_FS_Restated'!D:D,MATCH("Inventory — Total",'03_FS_Restated'!B:B,0)))</f>
        <v>1932697964803</v>
      </c>
    </row>
    <row r="50" spans="2:6" ht="14.25" customHeight="1" x14ac:dyDescent="0.45">
      <c r="B50" s="118" t="s">
        <v>435</v>
      </c>
      <c r="C50" s="119">
        <f>IFERROR(C15/C49*365,0)</f>
        <v>46.080716155301545</v>
      </c>
      <c r="D50" s="119">
        <f>IFERROR(D15/D49*365,0)</f>
        <v>29.938357337751523</v>
      </c>
      <c r="E50" s="119">
        <f>IFERROR(E15/E49*365,0)</f>
        <v>31.673189013401853</v>
      </c>
    </row>
    <row r="51" spans="2:6" x14ac:dyDescent="0.45">
      <c r="C51" s="117"/>
      <c r="D51" s="117"/>
      <c r="E51" s="117"/>
    </row>
    <row r="52" spans="2:6" ht="21.75" customHeight="1" x14ac:dyDescent="0.45">
      <c r="B52" s="53"/>
      <c r="C52" s="53"/>
      <c r="D52" s="53"/>
      <c r="E52" s="53"/>
      <c r="F52" s="53"/>
    </row>
  </sheetData>
  <mergeCells count="11">
    <mergeCell ref="B52:F52"/>
    <mergeCell ref="D32:E32"/>
    <mergeCell ref="D33:E33"/>
    <mergeCell ref="D34:E34"/>
    <mergeCell ref="D35:E35"/>
    <mergeCell ref="D36:E36"/>
    <mergeCell ref="A6:F6"/>
    <mergeCell ref="A17:F17"/>
    <mergeCell ref="A26:F26"/>
    <mergeCell ref="A30:F30"/>
    <mergeCell ref="C31:E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90"/>
  <sheetViews>
    <sheetView showGridLines="0" zoomScaleNormal="100" workbookViewId="0">
      <selection activeCell="G82" sqref="G82"/>
    </sheetView>
  </sheetViews>
  <sheetFormatPr defaultColWidth="8.6640625" defaultRowHeight="14.25" x14ac:dyDescent="0.45"/>
  <cols>
    <col min="1" max="1" width="2" customWidth="1"/>
    <col min="2" max="2" width="40" customWidth="1"/>
    <col min="3" max="6" width="20" customWidth="1"/>
    <col min="7" max="7" width="44" customWidth="1"/>
  </cols>
  <sheetData>
    <row r="2" spans="2:9" ht="17.25" customHeight="1" x14ac:dyDescent="0.5">
      <c r="B2" s="36" t="s">
        <v>436</v>
      </c>
    </row>
    <row r="3" spans="2:9" ht="15" customHeight="1" x14ac:dyDescent="0.45">
      <c r="B3" s="26"/>
    </row>
    <row r="5" spans="2:9" ht="15" customHeight="1" x14ac:dyDescent="0.45">
      <c r="B5" s="121" t="s">
        <v>437</v>
      </c>
    </row>
    <row r="6" spans="2:9" ht="15" customHeight="1" x14ac:dyDescent="0.45">
      <c r="B6" s="37" t="s">
        <v>438</v>
      </c>
      <c r="C6" s="37" t="s">
        <v>439</v>
      </c>
      <c r="D6" s="37" t="s">
        <v>440</v>
      </c>
      <c r="E6" s="37" t="s">
        <v>441</v>
      </c>
      <c r="F6" s="37" t="s">
        <v>442</v>
      </c>
      <c r="G6" s="37" t="s">
        <v>443</v>
      </c>
    </row>
    <row r="7" spans="2:9" ht="15" customHeight="1" x14ac:dyDescent="0.45">
      <c r="B7" s="123" t="s">
        <v>444</v>
      </c>
      <c r="C7" s="124" t="s">
        <v>445</v>
      </c>
      <c r="D7" s="124" t="s">
        <v>446</v>
      </c>
      <c r="E7" s="124" t="s">
        <v>447</v>
      </c>
      <c r="F7" s="124" t="s">
        <v>448</v>
      </c>
      <c r="G7" s="124" t="s">
        <v>449</v>
      </c>
    </row>
    <row r="8" spans="2:9" ht="15" customHeight="1" x14ac:dyDescent="0.45">
      <c r="B8" s="125" t="s">
        <v>450</v>
      </c>
      <c r="C8" s="126" t="s">
        <v>451</v>
      </c>
      <c r="D8" s="126" t="s">
        <v>452</v>
      </c>
      <c r="E8" s="126" t="s">
        <v>453</v>
      </c>
      <c r="F8" s="126" t="s">
        <v>454</v>
      </c>
      <c r="G8" s="126" t="s">
        <v>455</v>
      </c>
    </row>
    <row r="9" spans="2:9" ht="23.25" customHeight="1" x14ac:dyDescent="0.45">
      <c r="B9" s="125" t="s">
        <v>456</v>
      </c>
      <c r="C9" s="126" t="s">
        <v>457</v>
      </c>
      <c r="D9" s="126" t="s">
        <v>458</v>
      </c>
      <c r="E9" s="126" t="s">
        <v>459</v>
      </c>
      <c r="F9" s="126" t="s">
        <v>460</v>
      </c>
      <c r="G9" s="126" t="s">
        <v>461</v>
      </c>
    </row>
    <row r="10" spans="2:9" ht="23.25" customHeight="1" x14ac:dyDescent="0.45">
      <c r="B10" s="125" t="s">
        <v>462</v>
      </c>
      <c r="C10" s="126" t="s">
        <v>463</v>
      </c>
      <c r="D10" s="126" t="s">
        <v>464</v>
      </c>
      <c r="E10" s="126" t="s">
        <v>447</v>
      </c>
      <c r="F10" s="126" t="s">
        <v>465</v>
      </c>
      <c r="G10" s="126" t="s">
        <v>466</v>
      </c>
    </row>
    <row r="11" spans="2:9" ht="15" customHeight="1" x14ac:dyDescent="0.45">
      <c r="B11" s="125" t="s">
        <v>467</v>
      </c>
      <c r="C11" s="126" t="s">
        <v>468</v>
      </c>
      <c r="D11" s="126" t="s">
        <v>446</v>
      </c>
      <c r="E11" s="126" t="s">
        <v>447</v>
      </c>
      <c r="F11" s="126" t="s">
        <v>448</v>
      </c>
      <c r="G11" s="126" t="s">
        <v>469</v>
      </c>
    </row>
    <row r="12" spans="2:9" ht="15" customHeight="1" x14ac:dyDescent="0.45">
      <c r="B12" s="127" t="s">
        <v>470</v>
      </c>
      <c r="C12" s="128" t="s">
        <v>471</v>
      </c>
      <c r="D12" s="128" t="s">
        <v>446</v>
      </c>
      <c r="E12" s="128" t="s">
        <v>447</v>
      </c>
      <c r="F12" s="128" t="s">
        <v>448</v>
      </c>
      <c r="G12" s="128" t="s">
        <v>472</v>
      </c>
    </row>
    <row r="14" spans="2:9" ht="15" customHeight="1" x14ac:dyDescent="0.45">
      <c r="B14" s="130" t="s">
        <v>473</v>
      </c>
      <c r="C14" s="130"/>
      <c r="D14" s="130"/>
      <c r="E14" s="130"/>
      <c r="F14" s="130"/>
      <c r="G14" s="130"/>
      <c r="H14" s="130"/>
      <c r="I14" s="130"/>
    </row>
    <row r="15" spans="2:9" ht="15" customHeight="1" x14ac:dyDescent="0.45">
      <c r="B15" s="131" t="s">
        <v>474</v>
      </c>
      <c r="C15" s="131"/>
      <c r="D15" s="131"/>
      <c r="E15" s="131"/>
      <c r="F15" s="131"/>
      <c r="G15" s="131"/>
      <c r="H15" s="131"/>
      <c r="I15" s="131"/>
    </row>
    <row r="17" spans="2:9" ht="15" customHeight="1" x14ac:dyDescent="0.45">
      <c r="B17" s="121" t="s">
        <v>475</v>
      </c>
    </row>
    <row r="18" spans="2:9" ht="15" customHeight="1" x14ac:dyDescent="0.45">
      <c r="B18" s="37" t="s">
        <v>298</v>
      </c>
      <c r="C18" s="37" t="s">
        <v>476</v>
      </c>
      <c r="D18" s="37" t="s">
        <v>28</v>
      </c>
      <c r="E18" s="37" t="s">
        <v>29</v>
      </c>
      <c r="F18" s="37" t="s">
        <v>30</v>
      </c>
      <c r="G18" s="37" t="s">
        <v>477</v>
      </c>
    </row>
    <row r="19" spans="2:9" ht="15" customHeight="1" x14ac:dyDescent="0.45">
      <c r="B19" s="110" t="s">
        <v>478</v>
      </c>
      <c r="C19" s="115">
        <v>350602580193</v>
      </c>
      <c r="D19" s="115">
        <v>225698917511</v>
      </c>
      <c r="E19" s="115">
        <v>298853660085</v>
      </c>
      <c r="F19" s="115">
        <v>281041557777</v>
      </c>
    </row>
    <row r="20" spans="2:9" ht="15" customHeight="1" x14ac:dyDescent="0.45">
      <c r="B20" s="110" t="s">
        <v>479</v>
      </c>
      <c r="C20" s="115">
        <v>366595376460</v>
      </c>
      <c r="D20" s="115">
        <v>230582555144</v>
      </c>
      <c r="E20" s="115">
        <v>218749159456</v>
      </c>
      <c r="F20" s="115">
        <v>239364939489</v>
      </c>
    </row>
    <row r="21" spans="2:9" ht="15" customHeight="1" x14ac:dyDescent="0.45">
      <c r="B21" s="110" t="s">
        <v>480</v>
      </c>
      <c r="C21" s="115">
        <v>277697540107</v>
      </c>
      <c r="D21" s="115">
        <v>126460714750</v>
      </c>
      <c r="E21" s="115">
        <v>151502988335</v>
      </c>
      <c r="F21" s="115">
        <v>183920068898</v>
      </c>
    </row>
    <row r="22" spans="2:9" ht="15" customHeight="1" x14ac:dyDescent="0.45">
      <c r="B22" s="110" t="s">
        <v>325</v>
      </c>
      <c r="C22" s="115">
        <v>2383164448728</v>
      </c>
      <c r="D22" s="115">
        <v>2039284758153</v>
      </c>
      <c r="E22" s="115">
        <v>2096905452640</v>
      </c>
      <c r="F22" s="115">
        <v>2311204952919</v>
      </c>
    </row>
    <row r="23" spans="2:9" ht="15" customHeight="1" x14ac:dyDescent="0.45">
      <c r="B23" s="110" t="s">
        <v>481</v>
      </c>
      <c r="C23" s="115">
        <v>1969409126016</v>
      </c>
      <c r="D23" s="115">
        <v>1736658116472</v>
      </c>
      <c r="E23" s="115">
        <v>1706260890180</v>
      </c>
      <c r="F23" s="115">
        <v>1912082184770</v>
      </c>
    </row>
    <row r="24" spans="2:9" ht="15" customHeight="1" x14ac:dyDescent="0.45">
      <c r="B24" s="110" t="s">
        <v>482</v>
      </c>
      <c r="C24" s="115">
        <v>1301714680301</v>
      </c>
      <c r="D24" s="115">
        <v>1373217933338</v>
      </c>
      <c r="E24" s="115">
        <v>1356545653310</v>
      </c>
      <c r="F24" s="115">
        <v>1825602815409</v>
      </c>
    </row>
    <row r="25" spans="2:9" ht="15" customHeight="1" x14ac:dyDescent="0.45">
      <c r="B25" s="110" t="s">
        <v>483</v>
      </c>
      <c r="C25" s="115">
        <v>111926036003</v>
      </c>
      <c r="D25" s="115">
        <v>96243253037</v>
      </c>
      <c r="E25" s="115">
        <v>87854703191</v>
      </c>
      <c r="F25" s="115">
        <v>119627869202</v>
      </c>
    </row>
    <row r="26" spans="2:9" ht="15" customHeight="1" x14ac:dyDescent="0.45">
      <c r="B26" s="110" t="s">
        <v>484</v>
      </c>
      <c r="C26" s="115">
        <v>43547184624</v>
      </c>
      <c r="D26" s="115">
        <v>45942326390</v>
      </c>
      <c r="E26" s="115">
        <v>21203575185</v>
      </c>
      <c r="F26" s="115">
        <v>16100394821</v>
      </c>
    </row>
    <row r="27" spans="2:9" ht="15" customHeight="1" x14ac:dyDescent="0.45">
      <c r="B27" s="132" t="s">
        <v>485</v>
      </c>
      <c r="C27" s="132"/>
      <c r="D27" s="132"/>
      <c r="E27" s="132"/>
      <c r="F27" s="132"/>
      <c r="G27" s="132"/>
      <c r="H27" s="132"/>
      <c r="I27" s="132"/>
    </row>
    <row r="29" spans="2:9" ht="15" customHeight="1" x14ac:dyDescent="0.45">
      <c r="B29" s="121" t="s">
        <v>486</v>
      </c>
    </row>
    <row r="30" spans="2:9" ht="15" customHeight="1" x14ac:dyDescent="0.45">
      <c r="B30" s="37" t="s">
        <v>298</v>
      </c>
      <c r="C30" s="37" t="s">
        <v>476</v>
      </c>
      <c r="D30" s="37" t="s">
        <v>28</v>
      </c>
      <c r="E30" s="37" t="s">
        <v>29</v>
      </c>
      <c r="F30" s="37" t="s">
        <v>30</v>
      </c>
      <c r="G30" s="37" t="s">
        <v>477</v>
      </c>
    </row>
    <row r="31" spans="2:9" ht="15" customHeight="1" x14ac:dyDescent="0.45">
      <c r="B31" s="110" t="s">
        <v>478</v>
      </c>
      <c r="C31" s="115">
        <v>515311</v>
      </c>
      <c r="D31" s="115">
        <v>462195</v>
      </c>
      <c r="E31" s="115">
        <v>442117</v>
      </c>
      <c r="F31" s="115">
        <v>537849</v>
      </c>
    </row>
    <row r="32" spans="2:9" ht="15" customHeight="1" x14ac:dyDescent="0.45">
      <c r="B32" s="110" t="s">
        <v>479</v>
      </c>
      <c r="C32" s="115">
        <v>254658</v>
      </c>
      <c r="D32" s="115">
        <v>252836</v>
      </c>
      <c r="E32" s="115">
        <v>187481</v>
      </c>
      <c r="F32" s="115">
        <v>214288</v>
      </c>
    </row>
    <row r="33" spans="2:9" ht="15" customHeight="1" x14ac:dyDescent="0.45">
      <c r="B33" s="110" t="s">
        <v>480</v>
      </c>
      <c r="C33" s="115">
        <v>375745</v>
      </c>
      <c r="D33" s="115">
        <v>304535</v>
      </c>
      <c r="E33" s="115">
        <v>324123</v>
      </c>
      <c r="F33" s="115">
        <v>354467</v>
      </c>
    </row>
    <row r="34" spans="2:9" ht="15" customHeight="1" x14ac:dyDescent="0.45">
      <c r="B34" s="110" t="s">
        <v>325</v>
      </c>
      <c r="C34" s="115">
        <v>2321428</v>
      </c>
      <c r="D34" s="115">
        <v>2515038</v>
      </c>
      <c r="E34" s="115">
        <v>1852307</v>
      </c>
      <c r="F34" s="115">
        <v>2222635</v>
      </c>
    </row>
    <row r="35" spans="2:9" ht="15" customHeight="1" x14ac:dyDescent="0.45">
      <c r="B35" s="110" t="s">
        <v>481</v>
      </c>
      <c r="C35" s="115">
        <v>1996602</v>
      </c>
      <c r="D35" s="115">
        <v>2195377</v>
      </c>
      <c r="E35" s="115">
        <v>1609329</v>
      </c>
      <c r="F35" s="115">
        <v>1959203</v>
      </c>
    </row>
    <row r="36" spans="2:9" ht="15" customHeight="1" x14ac:dyDescent="0.45">
      <c r="B36" s="110" t="s">
        <v>482</v>
      </c>
      <c r="C36" s="115">
        <v>814514</v>
      </c>
      <c r="D36" s="115">
        <v>868321</v>
      </c>
      <c r="E36" s="115">
        <v>889004</v>
      </c>
      <c r="F36" s="115">
        <v>960413</v>
      </c>
    </row>
    <row r="37" spans="2:9" ht="15" customHeight="1" x14ac:dyDescent="0.45">
      <c r="B37" s="110" t="s">
        <v>483</v>
      </c>
      <c r="C37" s="115">
        <v>173396</v>
      </c>
      <c r="D37" s="115">
        <v>140518</v>
      </c>
      <c r="E37" s="115">
        <v>90989</v>
      </c>
      <c r="F37" s="115">
        <v>117030</v>
      </c>
    </row>
    <row r="38" spans="2:9" ht="15" customHeight="1" x14ac:dyDescent="0.45">
      <c r="B38" s="110" t="s">
        <v>484</v>
      </c>
      <c r="C38" s="115">
        <v>177</v>
      </c>
      <c r="D38" s="115">
        <v>1716</v>
      </c>
      <c r="E38" s="115">
        <v>3082</v>
      </c>
      <c r="F38" s="115">
        <v>7784</v>
      </c>
    </row>
    <row r="39" spans="2:9" ht="15" customHeight="1" x14ac:dyDescent="0.45">
      <c r="B39" s="132" t="s">
        <v>487</v>
      </c>
      <c r="C39" s="132"/>
      <c r="D39" s="132"/>
      <c r="E39" s="132"/>
      <c r="F39" s="132"/>
      <c r="G39" s="132"/>
      <c r="H39" s="132"/>
      <c r="I39" s="132"/>
    </row>
    <row r="41" spans="2:9" ht="15" customHeight="1" x14ac:dyDescent="0.45">
      <c r="B41" s="121" t="s">
        <v>488</v>
      </c>
    </row>
    <row r="42" spans="2:9" ht="15" customHeight="1" x14ac:dyDescent="0.45">
      <c r="B42" s="37" t="s">
        <v>298</v>
      </c>
      <c r="C42" s="37" t="s">
        <v>476</v>
      </c>
      <c r="D42" s="37" t="s">
        <v>28</v>
      </c>
      <c r="E42" s="37" t="s">
        <v>29</v>
      </c>
      <c r="F42" s="37" t="s">
        <v>30</v>
      </c>
    </row>
    <row r="43" spans="2:9" ht="15" customHeight="1" x14ac:dyDescent="0.45">
      <c r="B43" s="110" t="s">
        <v>478</v>
      </c>
      <c r="C43" s="115">
        <v>14670</v>
      </c>
      <c r="D43" s="115">
        <v>16871</v>
      </c>
      <c r="E43" s="115">
        <v>19706</v>
      </c>
      <c r="F43" s="115">
        <v>17082</v>
      </c>
    </row>
    <row r="44" spans="2:9" ht="15" customHeight="1" x14ac:dyDescent="0.45">
      <c r="B44" s="110" t="s">
        <v>479</v>
      </c>
      <c r="C44" s="115">
        <v>6979</v>
      </c>
      <c r="D44" s="115">
        <v>7665</v>
      </c>
      <c r="E44" s="115">
        <v>8357</v>
      </c>
      <c r="F44" s="115">
        <v>7881</v>
      </c>
    </row>
    <row r="45" spans="2:9" ht="15" customHeight="1" x14ac:dyDescent="0.45">
      <c r="B45" s="110" t="s">
        <v>489</v>
      </c>
      <c r="C45" s="115">
        <v>1777</v>
      </c>
      <c r="D45" s="115">
        <v>1763</v>
      </c>
      <c r="E45" s="115">
        <v>1956</v>
      </c>
      <c r="F45" s="115">
        <v>2066</v>
      </c>
    </row>
    <row r="46" spans="2:9" ht="15" customHeight="1" x14ac:dyDescent="0.45">
      <c r="B46" s="110" t="s">
        <v>490</v>
      </c>
      <c r="C46" s="115">
        <v>3306</v>
      </c>
      <c r="D46" s="115">
        <v>4580</v>
      </c>
      <c r="E46" s="115">
        <v>4340</v>
      </c>
      <c r="F46" s="115">
        <v>4044</v>
      </c>
    </row>
    <row r="47" spans="2:9" ht="15" customHeight="1" x14ac:dyDescent="0.45">
      <c r="B47" s="110" t="s">
        <v>491</v>
      </c>
      <c r="C47" s="115">
        <v>1896</v>
      </c>
      <c r="D47" s="115">
        <v>1322</v>
      </c>
      <c r="E47" s="115">
        <v>2061</v>
      </c>
      <c r="F47" s="115">
        <v>1771</v>
      </c>
    </row>
    <row r="48" spans="2:9" ht="15" customHeight="1" x14ac:dyDescent="0.45">
      <c r="B48" s="110" t="s">
        <v>480</v>
      </c>
      <c r="C48" s="115">
        <v>9548</v>
      </c>
      <c r="D48" s="115">
        <v>11734</v>
      </c>
      <c r="E48" s="115">
        <v>12134</v>
      </c>
      <c r="F48" s="115">
        <v>11766</v>
      </c>
    </row>
    <row r="49" spans="2:9" ht="15" customHeight="1" x14ac:dyDescent="0.45">
      <c r="B49" s="110" t="s">
        <v>325</v>
      </c>
      <c r="C49" s="115">
        <v>65661</v>
      </c>
      <c r="D49" s="115">
        <v>81113</v>
      </c>
      <c r="E49" s="115">
        <v>93784</v>
      </c>
      <c r="F49" s="115">
        <v>91101</v>
      </c>
    </row>
    <row r="50" spans="2:9" ht="15" customHeight="1" x14ac:dyDescent="0.45">
      <c r="B50" s="110" t="s">
        <v>481</v>
      </c>
      <c r="C50" s="115">
        <v>55956</v>
      </c>
      <c r="D50" s="115">
        <v>69622</v>
      </c>
      <c r="E50" s="115">
        <v>80406</v>
      </c>
      <c r="F50" s="115">
        <v>76080</v>
      </c>
    </row>
    <row r="51" spans="2:9" ht="15" customHeight="1" x14ac:dyDescent="0.45">
      <c r="B51" s="110" t="s">
        <v>482</v>
      </c>
      <c r="C51" s="115">
        <v>23251</v>
      </c>
      <c r="D51" s="115">
        <v>25950</v>
      </c>
      <c r="E51" s="115">
        <v>30479</v>
      </c>
      <c r="F51" s="115">
        <v>32779</v>
      </c>
    </row>
    <row r="52" spans="2:9" ht="15" customHeight="1" x14ac:dyDescent="0.45">
      <c r="B52" s="110" t="s">
        <v>483</v>
      </c>
      <c r="C52" s="115">
        <v>1811</v>
      </c>
      <c r="D52" s="115">
        <v>2096</v>
      </c>
      <c r="E52" s="115">
        <v>2612</v>
      </c>
      <c r="F52" s="115">
        <v>3857</v>
      </c>
    </row>
    <row r="53" spans="2:9" ht="15" customHeight="1" x14ac:dyDescent="0.45">
      <c r="B53" s="110" t="s">
        <v>484</v>
      </c>
      <c r="C53" s="115">
        <v>361</v>
      </c>
      <c r="D53" s="115">
        <v>368</v>
      </c>
      <c r="E53" s="115">
        <v>456</v>
      </c>
      <c r="F53" s="115">
        <v>474</v>
      </c>
    </row>
    <row r="54" spans="2:9" ht="21.75" customHeight="1" x14ac:dyDescent="0.45">
      <c r="B54" s="132" t="s">
        <v>492</v>
      </c>
      <c r="C54" s="132"/>
      <c r="D54" s="132"/>
      <c r="E54" s="132"/>
      <c r="F54" s="132"/>
      <c r="G54" s="132"/>
      <c r="H54" s="132"/>
      <c r="I54" s="132"/>
    </row>
    <row r="56" spans="2:9" ht="15" customHeight="1" x14ac:dyDescent="0.45">
      <c r="B56" s="121" t="s">
        <v>493</v>
      </c>
    </row>
    <row r="57" spans="2:9" ht="15" customHeight="1" x14ac:dyDescent="0.45">
      <c r="B57" s="37" t="s">
        <v>298</v>
      </c>
      <c r="C57" s="37" t="s">
        <v>476</v>
      </c>
      <c r="D57" s="37" t="s">
        <v>28</v>
      </c>
      <c r="E57" s="37" t="s">
        <v>29</v>
      </c>
      <c r="F57" s="37" t="s">
        <v>30</v>
      </c>
    </row>
    <row r="58" spans="2:9" ht="15" customHeight="1" x14ac:dyDescent="0.45">
      <c r="B58" s="110" t="s">
        <v>478</v>
      </c>
      <c r="C58" s="115">
        <v>1522</v>
      </c>
      <c r="D58" s="115">
        <v>1525</v>
      </c>
      <c r="E58" s="115">
        <v>1558</v>
      </c>
      <c r="F58" s="115">
        <v>1600</v>
      </c>
    </row>
    <row r="59" spans="2:9" ht="15" customHeight="1" x14ac:dyDescent="0.45">
      <c r="B59" s="110" t="s">
        <v>479</v>
      </c>
      <c r="C59" s="115">
        <v>1283</v>
      </c>
      <c r="D59" s="115">
        <v>1196</v>
      </c>
      <c r="E59" s="115">
        <v>1183</v>
      </c>
      <c r="F59" s="115">
        <v>1086</v>
      </c>
    </row>
    <row r="60" spans="2:9" ht="15" customHeight="1" x14ac:dyDescent="0.45">
      <c r="B60" s="110" t="s">
        <v>480</v>
      </c>
      <c r="C60" s="115">
        <v>779</v>
      </c>
      <c r="D60" s="115">
        <v>620</v>
      </c>
      <c r="E60" s="115">
        <v>704</v>
      </c>
      <c r="F60" s="115">
        <v>646</v>
      </c>
    </row>
    <row r="61" spans="2:9" ht="15" customHeight="1" x14ac:dyDescent="0.45">
      <c r="B61" s="110" t="s">
        <v>325</v>
      </c>
      <c r="C61" s="115">
        <v>10774</v>
      </c>
      <c r="D61" s="115">
        <v>9546</v>
      </c>
      <c r="E61" s="115">
        <v>9664</v>
      </c>
      <c r="F61" s="115">
        <v>9462</v>
      </c>
    </row>
    <row r="62" spans="2:9" ht="15" customHeight="1" x14ac:dyDescent="0.45">
      <c r="B62" s="110" t="s">
        <v>481</v>
      </c>
      <c r="C62" s="133"/>
      <c r="D62" s="115">
        <v>8210</v>
      </c>
      <c r="E62" s="115">
        <v>8051</v>
      </c>
      <c r="F62" s="115">
        <v>7732</v>
      </c>
    </row>
    <row r="63" spans="2:9" ht="15" customHeight="1" x14ac:dyDescent="0.45">
      <c r="B63" s="110" t="s">
        <v>482</v>
      </c>
      <c r="C63" s="115">
        <v>5392</v>
      </c>
      <c r="D63" s="115">
        <v>5171</v>
      </c>
      <c r="E63" s="115">
        <v>5738</v>
      </c>
      <c r="F63" s="115">
        <v>5532</v>
      </c>
    </row>
    <row r="64" spans="2:9" ht="15" customHeight="1" x14ac:dyDescent="0.45">
      <c r="B64" s="110" t="s">
        <v>483</v>
      </c>
      <c r="C64" s="115">
        <v>697</v>
      </c>
      <c r="D64" s="115">
        <v>435</v>
      </c>
      <c r="E64" s="115">
        <v>658</v>
      </c>
      <c r="F64" s="115">
        <v>777</v>
      </c>
    </row>
    <row r="65" spans="2:9" ht="15" customHeight="1" x14ac:dyDescent="0.45">
      <c r="B65" s="110" t="s">
        <v>484</v>
      </c>
      <c r="C65" s="133"/>
      <c r="D65" s="133"/>
      <c r="E65" s="115">
        <v>60</v>
      </c>
      <c r="F65" s="115">
        <v>46</v>
      </c>
    </row>
    <row r="66" spans="2:9" ht="15" customHeight="1" x14ac:dyDescent="0.45">
      <c r="B66" s="132" t="s">
        <v>494</v>
      </c>
      <c r="C66" s="132"/>
      <c r="D66" s="132"/>
      <c r="E66" s="132"/>
      <c r="F66" s="132"/>
      <c r="G66" s="132"/>
      <c r="H66" s="132"/>
      <c r="I66" s="132"/>
    </row>
    <row r="68" spans="2:9" ht="15" customHeight="1" x14ac:dyDescent="0.45">
      <c r="B68" s="121" t="s">
        <v>495</v>
      </c>
    </row>
    <row r="69" spans="2:9" ht="15" customHeight="1" x14ac:dyDescent="0.45">
      <c r="B69" s="37" t="s">
        <v>298</v>
      </c>
      <c r="C69" s="37" t="s">
        <v>476</v>
      </c>
      <c r="D69" s="37" t="s">
        <v>28</v>
      </c>
      <c r="E69" s="37" t="s">
        <v>29</v>
      </c>
      <c r="F69" s="37" t="s">
        <v>30</v>
      </c>
    </row>
    <row r="70" spans="2:9" ht="15" customHeight="1" x14ac:dyDescent="0.45">
      <c r="B70" s="110" t="s">
        <v>478</v>
      </c>
      <c r="C70" s="115">
        <v>866425088081</v>
      </c>
      <c r="D70" s="115">
        <v>869315928192</v>
      </c>
      <c r="E70" s="115">
        <v>388318659135</v>
      </c>
      <c r="F70" s="115">
        <v>374391953022</v>
      </c>
    </row>
    <row r="71" spans="2:9" ht="15" customHeight="1" x14ac:dyDescent="0.45">
      <c r="B71" s="110" t="s">
        <v>479</v>
      </c>
      <c r="C71" s="115">
        <v>1535149437534</v>
      </c>
      <c r="D71" s="115">
        <v>1158634823678</v>
      </c>
      <c r="E71" s="115">
        <v>1005126876948</v>
      </c>
      <c r="F71" s="115">
        <v>1441053821794</v>
      </c>
    </row>
    <row r="72" spans="2:9" ht="15" customHeight="1" x14ac:dyDescent="0.45">
      <c r="B72" s="110" t="s">
        <v>480</v>
      </c>
      <c r="C72" s="115">
        <v>287076377670</v>
      </c>
      <c r="D72" s="115">
        <v>313255093379</v>
      </c>
      <c r="E72" s="115">
        <v>313880517607</v>
      </c>
      <c r="F72" s="115">
        <v>276189676959</v>
      </c>
    </row>
    <row r="73" spans="2:9" ht="15" customHeight="1" x14ac:dyDescent="0.45">
      <c r="B73" s="110" t="s">
        <v>325</v>
      </c>
      <c r="C73" s="115">
        <v>5685112416767</v>
      </c>
      <c r="D73" s="115">
        <v>5175862669587</v>
      </c>
      <c r="E73" s="115">
        <v>5656563814495</v>
      </c>
      <c r="F73" s="115">
        <v>6750824646188</v>
      </c>
    </row>
    <row r="74" spans="2:9" ht="15" customHeight="1" x14ac:dyDescent="0.45">
      <c r="B74" s="110" t="s">
        <v>481</v>
      </c>
      <c r="C74" s="115">
        <v>4294534288942</v>
      </c>
      <c r="D74" s="115">
        <v>3619645131711</v>
      </c>
      <c r="E74" s="115">
        <v>3886614549588</v>
      </c>
      <c r="F74" s="115">
        <v>4658204795059</v>
      </c>
    </row>
    <row r="75" spans="2:9" ht="15" customHeight="1" x14ac:dyDescent="0.45">
      <c r="B75" s="110" t="s">
        <v>482</v>
      </c>
      <c r="C75" s="115">
        <v>2830817344826</v>
      </c>
      <c r="D75" s="115">
        <v>3115499287238</v>
      </c>
      <c r="E75" s="115">
        <v>3666374210005</v>
      </c>
      <c r="F75" s="115">
        <v>4231801014628</v>
      </c>
    </row>
    <row r="76" spans="2:9" ht="15" customHeight="1" x14ac:dyDescent="0.45">
      <c r="B76" s="110" t="s">
        <v>483</v>
      </c>
      <c r="C76" s="115">
        <v>479539723632</v>
      </c>
      <c r="D76" s="115">
        <v>559414720517</v>
      </c>
      <c r="E76" s="115">
        <v>735659511537</v>
      </c>
      <c r="F76" s="115">
        <v>992866044209</v>
      </c>
    </row>
    <row r="77" spans="2:9" ht="15" customHeight="1" x14ac:dyDescent="0.45">
      <c r="B77" s="110" t="s">
        <v>484</v>
      </c>
      <c r="C77" s="115">
        <v>78639277456</v>
      </c>
      <c r="D77" s="115">
        <v>90107847382</v>
      </c>
      <c r="E77" s="115">
        <v>48945955598</v>
      </c>
      <c r="F77" s="115">
        <v>80323575442</v>
      </c>
    </row>
    <row r="78" spans="2:9" ht="15" customHeight="1" x14ac:dyDescent="0.45">
      <c r="B78" s="132" t="s">
        <v>496</v>
      </c>
      <c r="C78" s="132"/>
      <c r="D78" s="132"/>
      <c r="E78" s="132"/>
      <c r="F78" s="132"/>
      <c r="G78" s="132"/>
      <c r="H78" s="132"/>
      <c r="I78" s="132"/>
    </row>
    <row r="80" spans="2:9" ht="15" customHeight="1" x14ac:dyDescent="0.45">
      <c r="B80" s="121" t="s">
        <v>497</v>
      </c>
    </row>
    <row r="81" spans="2:9" ht="15" customHeight="1" x14ac:dyDescent="0.45">
      <c r="B81" s="37" t="s">
        <v>298</v>
      </c>
      <c r="C81" s="37" t="s">
        <v>476</v>
      </c>
      <c r="D81" s="37" t="s">
        <v>28</v>
      </c>
      <c r="E81" s="37" t="s">
        <v>29</v>
      </c>
      <c r="F81" s="37" t="s">
        <v>30</v>
      </c>
    </row>
    <row r="82" spans="2:9" ht="15" customHeight="1" x14ac:dyDescent="0.45">
      <c r="B82" s="110" t="s">
        <v>478</v>
      </c>
      <c r="C82" s="115">
        <v>1020327735573</v>
      </c>
      <c r="D82" s="115">
        <v>687000734407</v>
      </c>
      <c r="E82" s="115">
        <v>1205499960149</v>
      </c>
      <c r="F82" s="115">
        <v>703466021715</v>
      </c>
    </row>
    <row r="83" spans="2:9" ht="15" customHeight="1" x14ac:dyDescent="0.45">
      <c r="B83" s="110" t="s">
        <v>479</v>
      </c>
      <c r="C83" s="115">
        <v>1790091357848</v>
      </c>
      <c r="D83" s="115">
        <v>781680229197</v>
      </c>
      <c r="E83" s="115">
        <v>1286443372106</v>
      </c>
      <c r="F83" s="115">
        <v>943451289416</v>
      </c>
    </row>
    <row r="84" spans="2:9" ht="15" customHeight="1" x14ac:dyDescent="0.45">
      <c r="B84" s="110" t="s">
        <v>480</v>
      </c>
      <c r="C84" s="115">
        <v>754557899880</v>
      </c>
      <c r="D84" s="115">
        <v>517381867012</v>
      </c>
      <c r="E84" s="115">
        <v>873489122186</v>
      </c>
      <c r="F84" s="115">
        <v>587551921350</v>
      </c>
    </row>
    <row r="85" spans="2:9" ht="15" customHeight="1" x14ac:dyDescent="0.45">
      <c r="B85" s="110" t="s">
        <v>325</v>
      </c>
      <c r="C85" s="115">
        <v>15290297073087</v>
      </c>
      <c r="D85" s="115">
        <v>12621514144947</v>
      </c>
      <c r="E85" s="115">
        <v>12782230561048</v>
      </c>
      <c r="F85" s="115">
        <v>10728147400851</v>
      </c>
    </row>
    <row r="86" spans="2:9" ht="15" customHeight="1" x14ac:dyDescent="0.45">
      <c r="B86" s="110" t="s">
        <v>481</v>
      </c>
      <c r="C86" s="115">
        <v>14204057189374</v>
      </c>
      <c r="D86" s="115">
        <v>11512820822177</v>
      </c>
      <c r="E86" s="115">
        <v>11298125054883</v>
      </c>
      <c r="F86" s="115">
        <v>9235313962502</v>
      </c>
    </row>
    <row r="87" spans="2:9" ht="15" customHeight="1" x14ac:dyDescent="0.45">
      <c r="B87" s="110" t="s">
        <v>482</v>
      </c>
      <c r="C87" s="115">
        <v>6171185417465</v>
      </c>
      <c r="D87" s="115">
        <v>5963870940230</v>
      </c>
      <c r="E87" s="115">
        <v>6236273953200</v>
      </c>
      <c r="F87" s="115">
        <v>6079230359763</v>
      </c>
    </row>
    <row r="88" spans="2:9" ht="15" customHeight="1" x14ac:dyDescent="0.45">
      <c r="B88" s="110" t="s">
        <v>483</v>
      </c>
      <c r="C88" s="115">
        <v>117291267937</v>
      </c>
      <c r="D88" s="115">
        <v>309193823134</v>
      </c>
      <c r="E88" s="115">
        <v>319781840731</v>
      </c>
      <c r="F88" s="115">
        <v>423921411857</v>
      </c>
    </row>
    <row r="89" spans="2:9" ht="15" customHeight="1" x14ac:dyDescent="0.45">
      <c r="B89" s="110" t="s">
        <v>484</v>
      </c>
      <c r="C89" s="115">
        <v>173679772675</v>
      </c>
      <c r="D89" s="115">
        <v>190476045845</v>
      </c>
      <c r="E89" s="115">
        <v>159525373952</v>
      </c>
      <c r="F89" s="115">
        <v>133833486614</v>
      </c>
    </row>
    <row r="90" spans="2:9" ht="15" customHeight="1" x14ac:dyDescent="0.45">
      <c r="B90" s="132" t="s">
        <v>498</v>
      </c>
      <c r="C90" s="132"/>
      <c r="D90" s="132"/>
      <c r="E90" s="132"/>
      <c r="F90" s="132"/>
      <c r="G90" s="132"/>
      <c r="H90" s="132"/>
      <c r="I90" s="132"/>
    </row>
  </sheetData>
  <mergeCells count="8">
    <mergeCell ref="B66:I66"/>
    <mergeCell ref="B78:I78"/>
    <mergeCell ref="B90:I90"/>
    <mergeCell ref="B14:I14"/>
    <mergeCell ref="B15:I15"/>
    <mergeCell ref="B27:I27"/>
    <mergeCell ref="B39:I39"/>
    <mergeCell ref="B54:I5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73"/>
  <sheetViews>
    <sheetView showGridLines="0" zoomScaleNormal="100" workbookViewId="0">
      <selection activeCell="G3" sqref="G3"/>
    </sheetView>
  </sheetViews>
  <sheetFormatPr defaultColWidth="8.6640625" defaultRowHeight="14.25" x14ac:dyDescent="0.45"/>
  <cols>
    <col min="1" max="1" width="2" customWidth="1"/>
    <col min="2" max="2" width="34" customWidth="1"/>
    <col min="3" max="3" width="15.9296875" customWidth="1"/>
    <col min="4" max="5" width="15" customWidth="1"/>
    <col min="6" max="6" width="7.73046875" customWidth="1"/>
    <col min="7" max="9" width="15" customWidth="1"/>
    <col min="10" max="10" width="40" customWidth="1"/>
  </cols>
  <sheetData>
    <row r="2" spans="2:10" ht="17.25" customHeight="1" x14ac:dyDescent="0.5">
      <c r="B2" s="36" t="s">
        <v>499</v>
      </c>
    </row>
    <row r="3" spans="2:10" ht="15" customHeight="1" x14ac:dyDescent="0.45">
      <c r="B3" s="26"/>
    </row>
    <row r="5" spans="2:10" ht="15" customHeight="1" x14ac:dyDescent="0.45">
      <c r="B5" s="121" t="s">
        <v>500</v>
      </c>
    </row>
    <row r="6" spans="2:10" ht="15" customHeight="1" x14ac:dyDescent="0.45">
      <c r="B6" s="37" t="s">
        <v>501</v>
      </c>
      <c r="C6" s="37" t="s">
        <v>28</v>
      </c>
      <c r="D6" s="37" t="s">
        <v>29</v>
      </c>
      <c r="E6" s="37" t="s">
        <v>30</v>
      </c>
      <c r="F6" s="37"/>
      <c r="G6" s="37" t="s">
        <v>502</v>
      </c>
      <c r="H6" s="37"/>
      <c r="I6" s="37"/>
      <c r="J6" s="37" t="s">
        <v>503</v>
      </c>
    </row>
    <row r="7" spans="2:10" ht="15" customHeight="1" x14ac:dyDescent="0.45">
      <c r="B7" s="39" t="s">
        <v>504</v>
      </c>
      <c r="C7" s="40"/>
      <c r="D7" s="40"/>
      <c r="E7" s="40"/>
      <c r="F7" s="40"/>
      <c r="G7" s="40"/>
      <c r="H7" s="40"/>
      <c r="I7" s="40"/>
    </row>
    <row r="8" spans="2:10" ht="15" customHeight="1" x14ac:dyDescent="0.45">
      <c r="B8" s="38" t="s">
        <v>505</v>
      </c>
      <c r="C8" s="41">
        <f>IFERROR((('06_Peer_Inputs'!C19+'06_Peer_Inputs'!D19)/2)/'06_Peer_Inputs'!D22*365,"")</f>
        <v>51.574466444910833</v>
      </c>
      <c r="D8" s="41">
        <f>IFERROR((('06_Peer_Inputs'!D19+'06_Peer_Inputs'!E19)/2)/'06_Peer_Inputs'!E22*365,"")</f>
        <v>45.653391425323946</v>
      </c>
      <c r="E8" s="41">
        <f>IFERROR((('06_Peer_Inputs'!E19+'06_Peer_Inputs'!F19)/2)/'06_Peer_Inputs'!F22*365,"")</f>
        <v>45.790347206617469</v>
      </c>
      <c r="G8" s="42">
        <f>IFERROR(E8-C8,"")</f>
        <v>-5.7841192382933642</v>
      </c>
    </row>
    <row r="9" spans="2:10" ht="15" customHeight="1" x14ac:dyDescent="0.45">
      <c r="B9" s="38" t="s">
        <v>506</v>
      </c>
      <c r="C9" s="41">
        <f>IFERROR((('06_Peer_Inputs'!C20+'06_Peer_Inputs'!D20)/2)/'06_Peer_Inputs'!D23*365,"")</f>
        <v>62.755571453022462</v>
      </c>
      <c r="D9" s="41">
        <f>IFERROR((('06_Peer_Inputs'!D20+'06_Peer_Inputs'!E20)/2)/'06_Peer_Inputs'!E23*365,"")</f>
        <v>48.060081776737661</v>
      </c>
      <c r="E9" s="41">
        <f>IFERROR((('06_Peer_Inputs'!E20+'06_Peer_Inputs'!F20)/2)/'06_Peer_Inputs'!F23*365,"")</f>
        <v>43.725015443057039</v>
      </c>
      <c r="G9" s="42">
        <f>IFERROR(E9-C9,"")</f>
        <v>-19.030556009965423</v>
      </c>
    </row>
    <row r="10" spans="2:10" ht="15" customHeight="1" x14ac:dyDescent="0.45">
      <c r="B10" s="38" t="s">
        <v>507</v>
      </c>
      <c r="C10" s="41">
        <f>IFERROR((('06_Peer_Inputs'!C21+'06_Peer_Inputs'!D21)/2)/'06_Peer_Inputs'!D23*365,"")</f>
        <v>42.471733965256661</v>
      </c>
      <c r="D10" s="41">
        <f>IFERROR((('06_Peer_Inputs'!D21+'06_Peer_Inputs'!E21)/2)/'06_Peer_Inputs'!E23*365,"")</f>
        <v>29.730726470358803</v>
      </c>
      <c r="E10" s="41">
        <f>IFERROR((('06_Peer_Inputs'!E21+'06_Peer_Inputs'!F21)/2)/'06_Peer_Inputs'!F23*365,"")</f>
        <v>32.014684532184937</v>
      </c>
      <c r="G10" s="42">
        <f>IFERROR(E10-C10,"")</f>
        <v>-10.457049433071724</v>
      </c>
    </row>
    <row r="11" spans="2:10" ht="15" customHeight="1" x14ac:dyDescent="0.45">
      <c r="B11" s="35" t="s">
        <v>508</v>
      </c>
      <c r="C11" s="116">
        <f>IFERROR(C8+C9-C10,"")</f>
        <v>71.858303932676634</v>
      </c>
      <c r="D11" s="116">
        <f>IFERROR(D8+D9-D10,"")</f>
        <v>63.982746731702804</v>
      </c>
      <c r="E11" s="116">
        <f>IFERROR(E8+E9-E10,"")</f>
        <v>57.500678117489564</v>
      </c>
      <c r="G11" s="43">
        <f>IFERROR(E11-C11,"")</f>
        <v>-14.35762581518707</v>
      </c>
      <c r="J11" s="136" t="s">
        <v>449</v>
      </c>
    </row>
    <row r="13" spans="2:10" ht="15" customHeight="1" x14ac:dyDescent="0.45">
      <c r="B13" s="39" t="s">
        <v>509</v>
      </c>
      <c r="C13" s="40"/>
      <c r="D13" s="40"/>
      <c r="E13" s="40"/>
      <c r="F13" s="40"/>
      <c r="G13" s="40"/>
      <c r="H13" s="40"/>
      <c r="I13" s="40"/>
    </row>
    <row r="14" spans="2:10" ht="15" customHeight="1" x14ac:dyDescent="0.45">
      <c r="B14" s="38" t="s">
        <v>505</v>
      </c>
      <c r="C14" s="41">
        <f>IFERROR((('06_Peer_Inputs'!C31+'06_Peer_Inputs'!D31)/2)/'06_Peer_Inputs'!D34*365,"")</f>
        <v>70.931272211394031</v>
      </c>
      <c r="D14" s="41">
        <f>IFERROR((('06_Peer_Inputs'!D31+'06_Peer_Inputs'!E31)/2)/'06_Peer_Inputs'!E34*365,"")</f>
        <v>89.09804908149674</v>
      </c>
      <c r="E14" s="41">
        <f>IFERROR((('06_Peer_Inputs'!E31+'06_Peer_Inputs'!F31)/2)/'06_Peer_Inputs'!F34*365,"")</f>
        <v>80.464761420566134</v>
      </c>
      <c r="G14" s="42">
        <f>IFERROR(E14-C14,"")</f>
        <v>9.5334892091721031</v>
      </c>
    </row>
    <row r="15" spans="2:10" ht="15" customHeight="1" x14ac:dyDescent="0.45">
      <c r="B15" s="38" t="s">
        <v>506</v>
      </c>
      <c r="C15" s="41">
        <f>IFERROR((('06_Peer_Inputs'!C32+'06_Peer_Inputs'!D32)/2)/'06_Peer_Inputs'!D35*365,"")</f>
        <v>42.187585549087927</v>
      </c>
      <c r="D15" s="41">
        <f>IFERROR((('06_Peer_Inputs'!D32+'06_Peer_Inputs'!E32)/2)/'06_Peer_Inputs'!E35*365,"")</f>
        <v>49.932520012999206</v>
      </c>
      <c r="E15" s="41">
        <f>IFERROR((('06_Peer_Inputs'!E32+'06_Peer_Inputs'!F32)/2)/'06_Peer_Inputs'!F35*365,"")</f>
        <v>37.424831679004171</v>
      </c>
      <c r="G15" s="42">
        <f>IFERROR(E15-C15,"")</f>
        <v>-4.7627538700837562</v>
      </c>
    </row>
    <row r="16" spans="2:10" ht="15" customHeight="1" x14ac:dyDescent="0.45">
      <c r="B16" s="38" t="s">
        <v>507</v>
      </c>
      <c r="C16" s="41">
        <f>IFERROR((('06_Peer_Inputs'!C33+'06_Peer_Inputs'!D33)/2)/'06_Peer_Inputs'!D35*365,"")</f>
        <v>56.551152717733672</v>
      </c>
      <c r="D16" s="41">
        <f>IFERROR((('06_Peer_Inputs'!D33+'06_Peer_Inputs'!E33)/2)/'06_Peer_Inputs'!E35*365,"")</f>
        <v>71.29063417113592</v>
      </c>
      <c r="E16" s="41">
        <f>IFERROR((('06_Peer_Inputs'!E33+'06_Peer_Inputs'!F33)/2)/'06_Peer_Inputs'!F35*365,"")</f>
        <v>63.210741816953117</v>
      </c>
      <c r="G16" s="42">
        <f>IFERROR(E16-C16,"")</f>
        <v>6.6595890992194455</v>
      </c>
    </row>
    <row r="17" spans="2:10" ht="15" customHeight="1" x14ac:dyDescent="0.45">
      <c r="B17" s="35" t="s">
        <v>508</v>
      </c>
      <c r="C17" s="116">
        <f>IFERROR(C14+C15-C16,"")</f>
        <v>56.567705042748287</v>
      </c>
      <c r="D17" s="116">
        <f>IFERROR(D14+D15-D16,"")</f>
        <v>67.739934923360025</v>
      </c>
      <c r="E17" s="116">
        <f>IFERROR(E14+E15-E16,"")</f>
        <v>54.678851282617188</v>
      </c>
      <c r="G17" s="43">
        <f>IFERROR(E17-C17,"")</f>
        <v>-1.8888537601310986</v>
      </c>
      <c r="J17" s="136" t="s">
        <v>455</v>
      </c>
    </row>
    <row r="19" spans="2:10" ht="15" customHeight="1" x14ac:dyDescent="0.45">
      <c r="B19" s="39" t="s">
        <v>510</v>
      </c>
      <c r="C19" s="40"/>
      <c r="D19" s="40"/>
      <c r="E19" s="40"/>
      <c r="F19" s="40"/>
      <c r="G19" s="40"/>
      <c r="H19" s="40"/>
      <c r="I19" s="40"/>
    </row>
    <row r="20" spans="2:10" ht="15" customHeight="1" x14ac:dyDescent="0.45">
      <c r="B20" s="38" t="s">
        <v>505</v>
      </c>
      <c r="C20" s="41">
        <f>IFERROR((('06_Peer_Inputs'!C43+'06_Peer_Inputs'!D43)/2)/'06_Peer_Inputs'!D49*365,"")</f>
        <v>70.96559737649946</v>
      </c>
      <c r="D20" s="41">
        <f>IFERROR((('06_Peer_Inputs'!D43+'06_Peer_Inputs'!E43)/2)/'06_Peer_Inputs'!E49*365,"")</f>
        <v>71.177412991555059</v>
      </c>
      <c r="E20" s="41">
        <f>IFERROR((('06_Peer_Inputs'!E43+'06_Peer_Inputs'!F43)/2)/'06_Peer_Inputs'!F49*365,"")</f>
        <v>73.69633703252434</v>
      </c>
      <c r="G20" s="42">
        <f>IFERROR(E20-C20,"")</f>
        <v>2.7307396560248804</v>
      </c>
    </row>
    <row r="21" spans="2:10" ht="15" customHeight="1" x14ac:dyDescent="0.45">
      <c r="B21" s="38" t="s">
        <v>506</v>
      </c>
      <c r="C21" s="41">
        <f>IFERROR((('06_Peer_Inputs'!C44+'06_Peer_Inputs'!D44)/2)/'06_Peer_Inputs'!D50*365,"")</f>
        <v>38.386285944098127</v>
      </c>
      <c r="D21" s="41">
        <f>IFERROR((('06_Peer_Inputs'!D44+'06_Peer_Inputs'!E44)/2)/'06_Peer_Inputs'!E50*365,"")</f>
        <v>36.365631918016071</v>
      </c>
      <c r="E21" s="41">
        <f>IFERROR((('06_Peer_Inputs'!E44+'06_Peer_Inputs'!F44)/2)/'06_Peer_Inputs'!F50*365,"")</f>
        <v>38.95156414300736</v>
      </c>
      <c r="G21" s="42">
        <f>IFERROR(E21-C21,"")</f>
        <v>0.56527819890923325</v>
      </c>
    </row>
    <row r="22" spans="2:10" ht="15" customHeight="1" x14ac:dyDescent="0.45">
      <c r="B22" s="38" t="s">
        <v>507</v>
      </c>
      <c r="C22" s="41">
        <f>IFERROR((('06_Peer_Inputs'!C48+'06_Peer_Inputs'!D48)/2)/'06_Peer_Inputs'!D50*365,"")</f>
        <v>55.786461176065032</v>
      </c>
      <c r="D22" s="41">
        <f>IFERROR((('06_Peer_Inputs'!D48+'06_Peer_Inputs'!E48)/2)/'06_Peer_Inputs'!E50*365,"")</f>
        <v>54.173942243116187</v>
      </c>
      <c r="E22" s="41">
        <f>IFERROR((('06_Peer_Inputs'!E48+'06_Peer_Inputs'!F48)/2)/'06_Peer_Inputs'!F50*365,"")</f>
        <v>57.331098843322813</v>
      </c>
      <c r="G22" s="42">
        <f>IFERROR(E22-C22,"")</f>
        <v>1.5446376672577813</v>
      </c>
    </row>
    <row r="23" spans="2:10" ht="21.75" customHeight="1" x14ac:dyDescent="0.45">
      <c r="B23" s="35" t="s">
        <v>508</v>
      </c>
      <c r="C23" s="116">
        <f>IFERROR(C20+C21-C22,"")</f>
        <v>53.565422144532548</v>
      </c>
      <c r="D23" s="116">
        <f>IFERROR(D20+D21-D22,"")</f>
        <v>53.36910266645495</v>
      </c>
      <c r="E23" s="116">
        <f>IFERROR(E20+E21-E22,"")</f>
        <v>55.316802332208887</v>
      </c>
      <c r="G23" s="43">
        <f>IFERROR(E23-C23,"")</f>
        <v>1.7513801876763395</v>
      </c>
      <c r="J23" s="136" t="s">
        <v>461</v>
      </c>
    </row>
    <row r="25" spans="2:10" ht="15" customHeight="1" x14ac:dyDescent="0.45">
      <c r="B25" s="39" t="s">
        <v>511</v>
      </c>
      <c r="C25" s="40"/>
      <c r="D25" s="40"/>
      <c r="E25" s="40"/>
      <c r="F25" s="40"/>
      <c r="G25" s="40"/>
      <c r="H25" s="40"/>
      <c r="I25" s="40"/>
    </row>
    <row r="26" spans="2:10" ht="15" customHeight="1" x14ac:dyDescent="0.45">
      <c r="B26" s="38" t="s">
        <v>505</v>
      </c>
      <c r="C26" s="41">
        <f>IFERROR((('06_Peer_Inputs'!C58+'06_Peer_Inputs'!D58)/2)/'06_Peer_Inputs'!D61*365,"")</f>
        <v>58.252409386130317</v>
      </c>
      <c r="D26" s="41">
        <f>IFERROR((('06_Peer_Inputs'!D58+'06_Peer_Inputs'!E58)/2)/'06_Peer_Inputs'!E61*365,"")</f>
        <v>58.220974751655625</v>
      </c>
      <c r="E26" s="41">
        <f>IFERROR((('06_Peer_Inputs'!E58+'06_Peer_Inputs'!F58)/2)/'06_Peer_Inputs'!F61*365,"")</f>
        <v>60.910484041428873</v>
      </c>
      <c r="G26" s="42">
        <f>IFERROR(E26-C26,"")</f>
        <v>2.6580746552985559</v>
      </c>
    </row>
    <row r="27" spans="2:10" ht="15" customHeight="1" x14ac:dyDescent="0.45">
      <c r="B27" s="38" t="s">
        <v>506</v>
      </c>
      <c r="C27" s="41">
        <f>IFERROR((('06_Peer_Inputs'!C59+'06_Peer_Inputs'!D59)/2)/'06_Peer_Inputs'!D62*365,"")</f>
        <v>55.105663824604143</v>
      </c>
      <c r="D27" s="41">
        <f>IFERROR((('06_Peer_Inputs'!D59+'06_Peer_Inputs'!E59)/2)/'06_Peer_Inputs'!E62*365,"")</f>
        <v>53.927151906595455</v>
      </c>
      <c r="E27" s="41">
        <f>IFERROR((('06_Peer_Inputs'!E59+'06_Peer_Inputs'!F59)/2)/'06_Peer_Inputs'!F62*365,"")</f>
        <v>53.555677703052254</v>
      </c>
      <c r="G27" s="42">
        <f>IFERROR(E27-C27,"")</f>
        <v>-1.5499861215518891</v>
      </c>
    </row>
    <row r="28" spans="2:10" ht="15" customHeight="1" x14ac:dyDescent="0.45">
      <c r="B28" s="38" t="s">
        <v>507</v>
      </c>
      <c r="C28" s="41">
        <f>IFERROR((('06_Peer_Inputs'!C60+'06_Peer_Inputs'!D60)/2)/'06_Peer_Inputs'!D62*365,"")</f>
        <v>31.098355663824606</v>
      </c>
      <c r="D28" s="41">
        <f>IFERROR((('06_Peer_Inputs'!D60+'06_Peer_Inputs'!E60)/2)/'06_Peer_Inputs'!E62*365,"")</f>
        <v>30.01242081728978</v>
      </c>
      <c r="E28" s="41">
        <f>IFERROR((('06_Peer_Inputs'!E60+'06_Peer_Inputs'!F60)/2)/'06_Peer_Inputs'!F62*365,"")</f>
        <v>31.864330056906361</v>
      </c>
      <c r="G28" s="42">
        <f>IFERROR(E28-C28,"")</f>
        <v>0.76597439308175552</v>
      </c>
    </row>
    <row r="29" spans="2:10" ht="21.75" customHeight="1" x14ac:dyDescent="0.45">
      <c r="B29" s="35" t="s">
        <v>508</v>
      </c>
      <c r="C29" s="116">
        <f>IFERROR(C26+C27-C28,"")</f>
        <v>82.259717546909854</v>
      </c>
      <c r="D29" s="116">
        <f>IFERROR(D26+D27-D28,"")</f>
        <v>82.135705840961293</v>
      </c>
      <c r="E29" s="116">
        <f>IFERROR(E26+E27-E28,"")</f>
        <v>82.601831687574759</v>
      </c>
      <c r="G29" s="43">
        <f>IFERROR(E29-C29,"")</f>
        <v>0.3421141406649042</v>
      </c>
      <c r="J29" s="136" t="s">
        <v>466</v>
      </c>
    </row>
    <row r="31" spans="2:10" ht="15" customHeight="1" x14ac:dyDescent="0.45">
      <c r="B31" s="39" t="s">
        <v>512</v>
      </c>
      <c r="C31" s="40"/>
      <c r="D31" s="40"/>
      <c r="E31" s="40"/>
      <c r="F31" s="40"/>
      <c r="G31" s="40"/>
      <c r="H31" s="40"/>
      <c r="I31" s="40"/>
    </row>
    <row r="32" spans="2:10" ht="15" customHeight="1" x14ac:dyDescent="0.45">
      <c r="B32" s="38" t="s">
        <v>505</v>
      </c>
      <c r="C32" s="41">
        <f>IFERROR((('06_Peer_Inputs'!C70+'06_Peer_Inputs'!D70)/2)/'06_Peer_Inputs'!D73*365,"")</f>
        <v>61.201920470409021</v>
      </c>
      <c r="D32" s="41">
        <f>IFERROR((('06_Peer_Inputs'!D70+'06_Peer_Inputs'!E70)/2)/'06_Peer_Inputs'!E73*365,"")</f>
        <v>40.575571975168849</v>
      </c>
      <c r="E32" s="41">
        <f>IFERROR((('06_Peer_Inputs'!E70+'06_Peer_Inputs'!F70)/2)/'06_Peer_Inputs'!F73*365,"")</f>
        <v>20.618916060462599</v>
      </c>
      <c r="G32" s="42">
        <f>IFERROR(E32-C32,"")</f>
        <v>-40.583004409946426</v>
      </c>
    </row>
    <row r="33" spans="2:10" ht="15" customHeight="1" x14ac:dyDescent="0.45">
      <c r="B33" s="38" t="s">
        <v>506</v>
      </c>
      <c r="C33" s="41">
        <f>IFERROR((('06_Peer_Inputs'!C71+'06_Peer_Inputs'!D71)/2)/'06_Peer_Inputs'!D74*365,"")</f>
        <v>135.81873630766785</v>
      </c>
      <c r="D33" s="41">
        <f>IFERROR((('06_Peer_Inputs'!D71+'06_Peer_Inputs'!E71)/2)/'06_Peer_Inputs'!E74*365,"")</f>
        <v>101.60166523487771</v>
      </c>
      <c r="E33" s="41">
        <f>IFERROR((('06_Peer_Inputs'!E71+'06_Peer_Inputs'!F71)/2)/'06_Peer_Inputs'!F74*365,"")</f>
        <v>95.836915112436714</v>
      </c>
      <c r="G33" s="42">
        <f>IFERROR(E33-C33,"")</f>
        <v>-39.981821195231134</v>
      </c>
    </row>
    <row r="34" spans="2:10" ht="15" customHeight="1" x14ac:dyDescent="0.45">
      <c r="B34" s="38" t="s">
        <v>507</v>
      </c>
      <c r="C34" s="41">
        <f>IFERROR((('06_Peer_Inputs'!C72+'06_Peer_Inputs'!D72)/2)/'06_Peer_Inputs'!D74*365,"")</f>
        <v>30.268296885405846</v>
      </c>
      <c r="D34" s="41">
        <f>IFERROR((('06_Peer_Inputs'!D72+'06_Peer_Inputs'!E72)/2)/'06_Peer_Inputs'!E74*365,"")</f>
        <v>29.447800275712314</v>
      </c>
      <c r="E34" s="41">
        <f>IFERROR((('06_Peer_Inputs'!E72+'06_Peer_Inputs'!F72)/2)/'06_Peer_Inputs'!F74*365,"")</f>
        <v>23.117878076661729</v>
      </c>
      <c r="G34" s="42">
        <f>IFERROR(E34-C34,"")</f>
        <v>-7.1504188087441172</v>
      </c>
    </row>
    <row r="35" spans="2:10" ht="15" customHeight="1" x14ac:dyDescent="0.45">
      <c r="B35" s="35" t="s">
        <v>508</v>
      </c>
      <c r="C35" s="116">
        <f>IFERROR(C32+C33-C34,"")</f>
        <v>166.75235989267102</v>
      </c>
      <c r="D35" s="116">
        <f>IFERROR(D32+D33-D34,"")</f>
        <v>112.72943693433426</v>
      </c>
      <c r="E35" s="116">
        <f>IFERROR(E32+E33-E34,"")</f>
        <v>93.337953096237584</v>
      </c>
      <c r="G35" s="43">
        <f>IFERROR(E35-C35,"")</f>
        <v>-73.41440679643344</v>
      </c>
      <c r="J35" s="136" t="s">
        <v>469</v>
      </c>
    </row>
    <row r="37" spans="2:10" ht="15" customHeight="1" x14ac:dyDescent="0.45">
      <c r="B37" s="39" t="s">
        <v>513</v>
      </c>
      <c r="C37" s="40"/>
      <c r="D37" s="40"/>
      <c r="E37" s="40"/>
      <c r="F37" s="40"/>
      <c r="G37" s="40"/>
      <c r="H37" s="40"/>
      <c r="I37" s="40"/>
    </row>
    <row r="38" spans="2:10" ht="15" customHeight="1" x14ac:dyDescent="0.45">
      <c r="B38" s="38" t="s">
        <v>505</v>
      </c>
      <c r="C38" s="41">
        <f>IFERROR((('06_Peer_Inputs'!C82+'06_Peer_Inputs'!D82)/2)/'06_Peer_Inputs'!D85*365,"")</f>
        <v>24.687009988900062</v>
      </c>
      <c r="D38" s="41">
        <f>IFERROR((('06_Peer_Inputs'!D82+'06_Peer_Inputs'!E82)/2)/'06_Peer_Inputs'!E85*365,"")</f>
        <v>27.020430832234386</v>
      </c>
      <c r="E38" s="41">
        <f>IFERROR((('06_Peer_Inputs'!E82+'06_Peer_Inputs'!F82)/2)/'06_Peer_Inputs'!F85*365,"")</f>
        <v>32.474040360644615</v>
      </c>
      <c r="G38" s="42">
        <f>IFERROR(E38-C38,"")</f>
        <v>7.787030371744553</v>
      </c>
    </row>
    <row r="39" spans="2:10" ht="15" customHeight="1" x14ac:dyDescent="0.45">
      <c r="B39" s="38" t="s">
        <v>506</v>
      </c>
      <c r="C39" s="41">
        <f>IFERROR((('06_Peer_Inputs'!C83+'06_Peer_Inputs'!D83)/2)/'06_Peer_Inputs'!D86*365,"")</f>
        <v>40.767447169125816</v>
      </c>
      <c r="D39" s="41">
        <f>IFERROR((('06_Peer_Inputs'!D83+'06_Peer_Inputs'!E83)/2)/'06_Peer_Inputs'!E86*365,"")</f>
        <v>33.40665423725973</v>
      </c>
      <c r="E39" s="41">
        <f>IFERROR((('06_Peer_Inputs'!E83+'06_Peer_Inputs'!F83)/2)/'06_Peer_Inputs'!F86*365,"")</f>
        <v>44.065180391280805</v>
      </c>
      <c r="G39" s="42">
        <f>IFERROR(E39-C39,"")</f>
        <v>3.2977332221549887</v>
      </c>
    </row>
    <row r="40" spans="2:10" ht="15" customHeight="1" x14ac:dyDescent="0.45">
      <c r="B40" s="38" t="s">
        <v>507</v>
      </c>
      <c r="C40" s="41">
        <f>IFERROR((('06_Peer_Inputs'!C84+'06_Peer_Inputs'!D84)/2)/'06_Peer_Inputs'!D86*365,"")</f>
        <v>20.162652667245794</v>
      </c>
      <c r="D40" s="41">
        <f>IFERROR((('06_Peer_Inputs'!D84+'06_Peer_Inputs'!E84)/2)/'06_Peer_Inputs'!E86*365,"")</f>
        <v>22.466909712503941</v>
      </c>
      <c r="E40" s="41">
        <f>IFERROR((('06_Peer_Inputs'!E84+'06_Peer_Inputs'!F84)/2)/'06_Peer_Inputs'!F86*365,"")</f>
        <v>28.871784059313431</v>
      </c>
      <c r="G40" s="42">
        <f>IFERROR(E40-C40,"")</f>
        <v>8.7091313920676363</v>
      </c>
    </row>
    <row r="41" spans="2:10" ht="15" customHeight="1" x14ac:dyDescent="0.45">
      <c r="B41" s="35" t="s">
        <v>508</v>
      </c>
      <c r="C41" s="116">
        <f>IFERROR(C38+C39-C40,"")</f>
        <v>45.291804490780081</v>
      </c>
      <c r="D41" s="116">
        <f>IFERROR(D38+D39-D40,"")</f>
        <v>37.96017535699017</v>
      </c>
      <c r="E41" s="116">
        <f>IFERROR(E38+E39-E40,"")</f>
        <v>47.667436692612</v>
      </c>
      <c r="G41" s="43">
        <f>IFERROR(E41-C41,"")</f>
        <v>2.3756322018319196</v>
      </c>
      <c r="J41" s="136" t="s">
        <v>472</v>
      </c>
    </row>
    <row r="43" spans="2:10" ht="21.75" customHeight="1" x14ac:dyDescent="0.45">
      <c r="B43" s="130" t="s">
        <v>514</v>
      </c>
      <c r="C43" s="130"/>
      <c r="D43" s="130"/>
      <c r="E43" s="130"/>
      <c r="F43" s="130"/>
      <c r="G43" s="130"/>
      <c r="H43" s="130"/>
      <c r="I43" s="130"/>
    </row>
    <row r="45" spans="2:10" ht="15" customHeight="1" x14ac:dyDescent="0.45">
      <c r="B45" s="121" t="s">
        <v>515</v>
      </c>
    </row>
    <row r="46" spans="2:10" ht="23.25" customHeight="1" x14ac:dyDescent="0.45">
      <c r="B46" s="37" t="s">
        <v>516</v>
      </c>
      <c r="C46" s="37" t="s">
        <v>517</v>
      </c>
      <c r="D46" s="37" t="s">
        <v>518</v>
      </c>
      <c r="E46" s="37" t="s">
        <v>519</v>
      </c>
      <c r="F46" s="37"/>
      <c r="G46" s="37" t="s">
        <v>520</v>
      </c>
      <c r="H46" s="37" t="s">
        <v>521</v>
      </c>
      <c r="I46" s="37"/>
      <c r="J46" s="37" t="s">
        <v>522</v>
      </c>
    </row>
    <row r="47" spans="2:10" ht="21.75" customHeight="1" x14ac:dyDescent="0.45">
      <c r="B47" s="38" t="s">
        <v>505</v>
      </c>
      <c r="C47" s="134">
        <f>E8</f>
        <v>45.790347206617469</v>
      </c>
      <c r="D47" s="134">
        <f>E14</f>
        <v>80.464761420566134</v>
      </c>
      <c r="E47" s="134">
        <f>E20</f>
        <v>73.69633703252434</v>
      </c>
      <c r="G47" s="42">
        <f>AVERAGE(D47,E47)</f>
        <v>77.08054922654523</v>
      </c>
      <c r="H47" s="116">
        <f>C47-G47</f>
        <v>-31.290202019927762</v>
      </c>
      <c r="J47" s="136" t="s">
        <v>523</v>
      </c>
    </row>
    <row r="48" spans="2:10" ht="21.75" customHeight="1" x14ac:dyDescent="0.45">
      <c r="B48" s="38" t="s">
        <v>506</v>
      </c>
      <c r="C48" s="134">
        <f>E9</f>
        <v>43.725015443057039</v>
      </c>
      <c r="D48" s="134">
        <f>E15</f>
        <v>37.424831679004171</v>
      </c>
      <c r="E48" s="134">
        <f>E21</f>
        <v>38.95156414300736</v>
      </c>
      <c r="G48" s="42">
        <f>AVERAGE(D48,E48)</f>
        <v>38.188197911005766</v>
      </c>
      <c r="H48" s="116">
        <f>C48-G48</f>
        <v>5.5368175320512734</v>
      </c>
      <c r="J48" s="136" t="s">
        <v>524</v>
      </c>
    </row>
    <row r="49" spans="2:10" ht="21.75" customHeight="1" x14ac:dyDescent="0.45">
      <c r="B49" s="38" t="s">
        <v>507</v>
      </c>
      <c r="C49" s="134">
        <f>E10</f>
        <v>32.014684532184937</v>
      </c>
      <c r="D49" s="134">
        <f>E16</f>
        <v>63.210741816953117</v>
      </c>
      <c r="E49" s="134">
        <f>E22</f>
        <v>57.331098843322813</v>
      </c>
      <c r="G49" s="42">
        <f>AVERAGE(D49,E49)</f>
        <v>60.270920330137969</v>
      </c>
      <c r="H49" s="116">
        <f>C49-G49</f>
        <v>-28.256235797953032</v>
      </c>
      <c r="J49" s="136" t="s">
        <v>525</v>
      </c>
    </row>
    <row r="50" spans="2:10" ht="32.25" customHeight="1" x14ac:dyDescent="0.45">
      <c r="B50" s="35" t="s">
        <v>508</v>
      </c>
      <c r="C50" s="134">
        <f>E11</f>
        <v>57.500678117489564</v>
      </c>
      <c r="D50" s="134">
        <f>E17</f>
        <v>54.678851282617188</v>
      </c>
      <c r="E50" s="134">
        <f>E23</f>
        <v>55.316802332208887</v>
      </c>
      <c r="G50" s="42">
        <f>AVERAGE(D50,E50)</f>
        <v>54.997826807413034</v>
      </c>
      <c r="H50" s="116">
        <f>C50-G50</f>
        <v>2.5028513100765295</v>
      </c>
      <c r="J50" s="136" t="s">
        <v>526</v>
      </c>
    </row>
    <row r="51" spans="2:10" x14ac:dyDescent="0.45">
      <c r="J51" s="137"/>
    </row>
    <row r="52" spans="2:10" ht="15" customHeight="1" x14ac:dyDescent="0.45">
      <c r="B52" s="121" t="s">
        <v>527</v>
      </c>
    </row>
    <row r="53" spans="2:10" ht="15" customHeight="1" x14ac:dyDescent="0.45">
      <c r="B53" s="37" t="s">
        <v>528</v>
      </c>
      <c r="C53" s="37" t="s">
        <v>529</v>
      </c>
      <c r="D53" s="37" t="s">
        <v>530</v>
      </c>
      <c r="E53" s="37"/>
      <c r="F53" s="37"/>
      <c r="G53" s="37"/>
      <c r="H53" s="37"/>
      <c r="I53" s="37"/>
      <c r="J53" s="37" t="s">
        <v>531</v>
      </c>
    </row>
    <row r="54" spans="2:10" ht="15" customHeight="1" x14ac:dyDescent="0.45">
      <c r="B54" s="38" t="s">
        <v>532</v>
      </c>
      <c r="C54" s="138">
        <f>'06_Peer_Inputs'!F23</f>
        <v>1912082184770</v>
      </c>
      <c r="D54" s="44" t="s">
        <v>429</v>
      </c>
      <c r="J54" s="135" t="s">
        <v>533</v>
      </c>
    </row>
    <row r="55" spans="2:10" ht="15" customHeight="1" x14ac:dyDescent="0.45">
      <c r="B55" s="38" t="s">
        <v>534</v>
      </c>
      <c r="C55" s="138">
        <f>C54/365</f>
        <v>5238581328.1369867</v>
      </c>
      <c r="D55" s="44" t="s">
        <v>429</v>
      </c>
      <c r="J55" s="135" t="s">
        <v>535</v>
      </c>
    </row>
    <row r="56" spans="2:10" ht="15" customHeight="1" x14ac:dyDescent="0.45">
      <c r="B56" s="38" t="s">
        <v>536</v>
      </c>
      <c r="C56" s="139">
        <f>C49</f>
        <v>32.014684532184937</v>
      </c>
      <c r="D56" s="44" t="s">
        <v>537</v>
      </c>
      <c r="J56" s="135" t="s">
        <v>538</v>
      </c>
    </row>
    <row r="57" spans="2:10" ht="15" customHeight="1" x14ac:dyDescent="0.45">
      <c r="B57" s="38" t="s">
        <v>539</v>
      </c>
      <c r="C57" s="139">
        <f>G49</f>
        <v>60.270920330137969</v>
      </c>
      <c r="D57" s="44" t="s">
        <v>537</v>
      </c>
      <c r="J57" s="135" t="s">
        <v>540</v>
      </c>
    </row>
    <row r="58" spans="2:10" ht="15" customHeight="1" x14ac:dyDescent="0.45">
      <c r="B58" s="38" t="s">
        <v>541</v>
      </c>
      <c r="C58" s="139">
        <f>C57-C56</f>
        <v>28.256235797953032</v>
      </c>
      <c r="D58" s="44" t="s">
        <v>537</v>
      </c>
      <c r="J58" s="135" t="s">
        <v>542</v>
      </c>
    </row>
    <row r="59" spans="2:10" ht="15" customHeight="1" x14ac:dyDescent="0.45">
      <c r="B59" s="35" t="s">
        <v>543</v>
      </c>
      <c r="C59" s="140">
        <f>C58*C55</f>
        <v>148022589254.59265</v>
      </c>
      <c r="D59" s="44" t="s">
        <v>429</v>
      </c>
      <c r="J59" s="135" t="s">
        <v>544</v>
      </c>
    </row>
    <row r="60" spans="2:10" ht="15" customHeight="1" x14ac:dyDescent="0.45">
      <c r="B60" s="38" t="s">
        <v>545</v>
      </c>
      <c r="C60" s="142">
        <f>'06_Peer_Inputs'!F26</f>
        <v>16100394821</v>
      </c>
      <c r="D60" s="44" t="s">
        <v>429</v>
      </c>
      <c r="J60" s="135" t="s">
        <v>546</v>
      </c>
    </row>
    <row r="61" spans="2:10" ht="15" customHeight="1" x14ac:dyDescent="0.45">
      <c r="B61" s="38" t="s">
        <v>392</v>
      </c>
      <c r="C61" s="141">
        <f>'04_Ratios'!E46</f>
        <v>5.0549287176232124E-2</v>
      </c>
      <c r="D61" s="44" t="s">
        <v>547</v>
      </c>
      <c r="J61" s="135" t="s">
        <v>548</v>
      </c>
    </row>
    <row r="62" spans="2:10" ht="15" customHeight="1" x14ac:dyDescent="0.45">
      <c r="B62" s="35" t="s">
        <v>549</v>
      </c>
      <c r="C62" s="140">
        <f>C59*C61</f>
        <v>7482436372.7998552</v>
      </c>
      <c r="D62" s="44" t="s">
        <v>429</v>
      </c>
      <c r="J62" s="135" t="s">
        <v>550</v>
      </c>
    </row>
    <row r="64" spans="2:10" ht="21.75" customHeight="1" x14ac:dyDescent="0.45">
      <c r="B64" s="129" t="s">
        <v>551</v>
      </c>
      <c r="C64" s="129"/>
      <c r="D64" s="129"/>
      <c r="E64" s="129"/>
      <c r="F64" s="129"/>
      <c r="G64" s="129"/>
      <c r="H64" s="129"/>
      <c r="I64" s="129"/>
    </row>
    <row r="66" spans="2:10" ht="15" customHeight="1" x14ac:dyDescent="0.45">
      <c r="B66" s="121" t="s">
        <v>552</v>
      </c>
    </row>
    <row r="67" spans="2:10" ht="45.75" customHeight="1" x14ac:dyDescent="0.45">
      <c r="B67" s="37" t="s">
        <v>438</v>
      </c>
      <c r="C67" s="37" t="s">
        <v>553</v>
      </c>
      <c r="D67" s="37" t="s">
        <v>554</v>
      </c>
      <c r="E67" s="37" t="s">
        <v>367</v>
      </c>
      <c r="F67" s="37" t="s">
        <v>555</v>
      </c>
      <c r="G67" s="37"/>
      <c r="H67" s="37"/>
      <c r="I67" s="37"/>
      <c r="J67" s="37" t="s">
        <v>233</v>
      </c>
    </row>
    <row r="68" spans="2:10" ht="15" customHeight="1" x14ac:dyDescent="0.45">
      <c r="B68" s="38" t="s">
        <v>444</v>
      </c>
      <c r="C68" s="45">
        <f>IFERROR(('06_Peer_Inputs'!F22-'06_Peer_Inputs'!F23)/'06_Peer_Inputs'!F22,"")</f>
        <v>0.17269033957586363</v>
      </c>
      <c r="D68" s="45">
        <f>IFERROR('06_Peer_Inputs'!F25/'06_Peer_Inputs'!F22,"")</f>
        <v>5.1759957095502365E-2</v>
      </c>
      <c r="E68" s="45">
        <f>IFERROR('06_Peer_Inputs'!F25/(('06_Peer_Inputs'!E24+'06_Peer_Inputs'!F24)/2),"")</f>
        <v>7.5186855910690548E-2</v>
      </c>
      <c r="F68" s="45">
        <f>IFERROR('06_Peer_Inputs'!F26/'06_Peer_Inputs'!F22,"")</f>
        <v>6.9662341285075396E-3</v>
      </c>
    </row>
    <row r="69" spans="2:10" ht="15" customHeight="1" x14ac:dyDescent="0.45">
      <c r="B69" s="38" t="s">
        <v>450</v>
      </c>
      <c r="C69" s="45">
        <f>IFERROR(('06_Peer_Inputs'!F34-'06_Peer_Inputs'!F35)/'06_Peer_Inputs'!F34,"")</f>
        <v>0.11852238446708524</v>
      </c>
      <c r="D69" s="45">
        <f>IFERROR('06_Peer_Inputs'!F37/'06_Peer_Inputs'!F34,"")</f>
        <v>5.2653719571589576E-2</v>
      </c>
      <c r="E69" s="45">
        <f>IFERROR('06_Peer_Inputs'!F37/(('06_Peer_Inputs'!E36+'06_Peer_Inputs'!F36)/2),"")</f>
        <v>0.12655880204410364</v>
      </c>
      <c r="F69" s="45">
        <f>IFERROR('06_Peer_Inputs'!F38/'06_Peer_Inputs'!F34,"")</f>
        <v>3.5021494757348825E-3</v>
      </c>
    </row>
    <row r="70" spans="2:10" ht="15" customHeight="1" x14ac:dyDescent="0.45">
      <c r="B70" s="38" t="s">
        <v>456</v>
      </c>
      <c r="C70" s="45">
        <f>IFERROR(('06_Peer_Inputs'!F49-'06_Peer_Inputs'!F50)/'06_Peer_Inputs'!F49,"")</f>
        <v>0.164882932130273</v>
      </c>
      <c r="D70" s="45">
        <f>IFERROR('06_Peer_Inputs'!F52/'06_Peer_Inputs'!F49,"")</f>
        <v>4.2337625273048594E-2</v>
      </c>
      <c r="E70" s="45">
        <f>IFERROR('06_Peer_Inputs'!F52/(('06_Peer_Inputs'!E51+'06_Peer_Inputs'!F51)/2),"")</f>
        <v>0.12194505042840431</v>
      </c>
      <c r="F70" s="45">
        <f>IFERROR('06_Peer_Inputs'!F53/'06_Peer_Inputs'!F49,"")</f>
        <v>5.2030164323113902E-3</v>
      </c>
    </row>
    <row r="71" spans="2:10" ht="15" customHeight="1" x14ac:dyDescent="0.45">
      <c r="B71" s="38" t="s">
        <v>462</v>
      </c>
      <c r="C71" s="45">
        <f>IFERROR(('06_Peer_Inputs'!F61-'06_Peer_Inputs'!F62)/'06_Peer_Inputs'!F61,"")</f>
        <v>0.18283660959627987</v>
      </c>
      <c r="D71" s="45">
        <f>IFERROR('06_Peer_Inputs'!F64/'06_Peer_Inputs'!F61,"")</f>
        <v>8.2117945466074829E-2</v>
      </c>
      <c r="E71" s="45">
        <f>IFERROR('06_Peer_Inputs'!F64/(('06_Peer_Inputs'!E63+'06_Peer_Inputs'!F63)/2),"")</f>
        <v>0.13788819875776398</v>
      </c>
      <c r="F71" s="45">
        <f>IFERROR('06_Peer_Inputs'!F65/'06_Peer_Inputs'!F61,"")</f>
        <v>4.8615514690340308E-3</v>
      </c>
    </row>
    <row r="72" spans="2:10" ht="15" customHeight="1" x14ac:dyDescent="0.45">
      <c r="B72" s="38" t="s">
        <v>467</v>
      </c>
      <c r="C72" s="45">
        <f>IFERROR(('06_Peer_Inputs'!F73-'06_Peer_Inputs'!F74)/'06_Peer_Inputs'!F73,"")</f>
        <v>0.30997988554044925</v>
      </c>
      <c r="D72" s="45">
        <f>IFERROR('06_Peer_Inputs'!F76/'06_Peer_Inputs'!F73,"")</f>
        <v>0.14707329789252391</v>
      </c>
      <c r="E72" s="45">
        <f>IFERROR('06_Peer_Inputs'!F76/(('06_Peer_Inputs'!E75+'06_Peer_Inputs'!F75)/2),"")</f>
        <v>0.25141656546500207</v>
      </c>
      <c r="F72" s="45">
        <f>IFERROR('06_Peer_Inputs'!F77/'06_Peer_Inputs'!F73,"")</f>
        <v>1.1898335337054927E-2</v>
      </c>
    </row>
    <row r="73" spans="2:10" ht="15" customHeight="1" x14ac:dyDescent="0.45">
      <c r="B73" s="38" t="s">
        <v>470</v>
      </c>
      <c r="C73" s="45">
        <f>IFERROR(('06_Peer_Inputs'!F85-'06_Peer_Inputs'!F86)/'06_Peer_Inputs'!F85,"")</f>
        <v>0.13915109315431129</v>
      </c>
      <c r="D73" s="45">
        <f>IFERROR('06_Peer_Inputs'!F88/'06_Peer_Inputs'!F85,"")</f>
        <v>3.9514875776536479E-2</v>
      </c>
      <c r="E73" s="45">
        <f>IFERROR('06_Peer_Inputs'!F88/(('06_Peer_Inputs'!E87+'06_Peer_Inputs'!F87)/2),"")</f>
        <v>6.8843532685996564E-2</v>
      </c>
      <c r="F73" s="45">
        <f>IFERROR('06_Peer_Inputs'!F89/'06_Peer_Inputs'!F85,"")</f>
        <v>1.2474985811938396E-2</v>
      </c>
      <c r="J73" s="135" t="s">
        <v>556</v>
      </c>
    </row>
  </sheetData>
  <mergeCells count="2">
    <mergeCell ref="B43:I43"/>
    <mergeCell ref="B64:I6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35"/>
  <sheetViews>
    <sheetView showGridLines="0" zoomScaleNormal="100" workbookViewId="0">
      <selection activeCell="E5" sqref="E5"/>
    </sheetView>
  </sheetViews>
  <sheetFormatPr defaultColWidth="8.6640625" defaultRowHeight="14.25" x14ac:dyDescent="0.45"/>
  <cols>
    <col min="1" max="1" width="2" customWidth="1"/>
    <col min="2" max="2" width="30" customWidth="1"/>
    <col min="3" max="3" width="16" customWidth="1"/>
    <col min="4" max="4" width="23.796875" customWidth="1"/>
    <col min="5" max="5" width="16" customWidth="1"/>
    <col min="6" max="6" width="5.46484375" customWidth="1"/>
    <col min="7" max="7" width="30" customWidth="1"/>
    <col min="8" max="9" width="16" customWidth="1"/>
  </cols>
  <sheetData>
    <row r="2" spans="2:7" ht="17.25" customHeight="1" x14ac:dyDescent="0.5">
      <c r="B2" s="36" t="s">
        <v>557</v>
      </c>
    </row>
    <row r="3" spans="2:7" ht="15" customHeight="1" x14ac:dyDescent="0.45">
      <c r="B3" s="26" t="s">
        <v>558</v>
      </c>
    </row>
    <row r="5" spans="2:7" ht="15" customHeight="1" x14ac:dyDescent="0.45">
      <c r="B5" s="121" t="s">
        <v>559</v>
      </c>
    </row>
    <row r="6" spans="2:7" ht="15" customHeight="1" x14ac:dyDescent="0.45">
      <c r="B6" s="46" t="s">
        <v>560</v>
      </c>
      <c r="D6" s="46" t="s">
        <v>561</v>
      </c>
      <c r="G6" s="46" t="s">
        <v>562</v>
      </c>
    </row>
    <row r="7" spans="2:7" ht="24" customHeight="1" x14ac:dyDescent="0.7">
      <c r="B7" s="47">
        <f>INDEX('05_CCC'!E:E,MATCH("CCC = DSO + DIO(Total) − DPO",'05_CCC'!B:B,0))</f>
        <v>57.500678117489564</v>
      </c>
      <c r="D7" s="47">
        <f>INDEX('05_CCC'!E:E,MATCH("CCC = DSO + DIO(Total) − DPO",'05_CCC'!B:B,0))-INDEX('05_CCC'!C:C,MATCH("CCC = DSO + DIO(Total) − DPO",'05_CCC'!B:B,0))</f>
        <v>-14.35762581518707</v>
      </c>
      <c r="G7" s="47">
        <f>'07_Peer_Benchmark'!H49</f>
        <v>-28.256235797953032</v>
      </c>
    </row>
    <row r="8" spans="2:7" ht="15" customHeight="1" x14ac:dyDescent="0.45">
      <c r="B8" s="26" t="s">
        <v>563</v>
      </c>
      <c r="D8" s="26" t="s">
        <v>564</v>
      </c>
      <c r="G8" s="26" t="s">
        <v>565</v>
      </c>
    </row>
    <row r="10" spans="2:7" ht="15" customHeight="1" x14ac:dyDescent="0.45">
      <c r="B10" s="46" t="s">
        <v>566</v>
      </c>
      <c r="D10" s="46" t="s">
        <v>567</v>
      </c>
      <c r="G10" s="46" t="s">
        <v>568</v>
      </c>
    </row>
    <row r="11" spans="2:7" ht="24" customHeight="1" x14ac:dyDescent="0.7">
      <c r="B11" s="48">
        <f>INDEX('05_CCC'!E:E,MATCH("Working capital tied up = CCC x VND/day",'05_CCC'!B:B,0))</f>
        <v>364098224825.59735</v>
      </c>
      <c r="D11" s="48">
        <f>INDEX('05_CCC'!E:E,MATCH("One day of CCC in VND = Revenue / 365",'05_CCC'!B:B,0))</f>
        <v>6332068364.161644</v>
      </c>
      <c r="G11" s="48">
        <f>'07_Peer_Benchmark'!C59</f>
        <v>148022589254.59265</v>
      </c>
    </row>
    <row r="12" spans="2:7" ht="15" customHeight="1" x14ac:dyDescent="0.45">
      <c r="B12" s="26" t="s">
        <v>569</v>
      </c>
      <c r="D12" s="26" t="s">
        <v>570</v>
      </c>
      <c r="G12" s="26" t="s">
        <v>571</v>
      </c>
    </row>
    <row r="14" spans="2:7" ht="15" customHeight="1" x14ac:dyDescent="0.45">
      <c r="B14" s="121" t="s">
        <v>572</v>
      </c>
    </row>
    <row r="15" spans="2:7" ht="34.5" customHeight="1" x14ac:dyDescent="0.45">
      <c r="B15" s="37" t="s">
        <v>389</v>
      </c>
      <c r="C15" s="37" t="s">
        <v>28</v>
      </c>
      <c r="D15" s="37" t="s">
        <v>29</v>
      </c>
      <c r="E15" s="37" t="s">
        <v>30</v>
      </c>
      <c r="F15" s="37" t="s">
        <v>573</v>
      </c>
    </row>
    <row r="16" spans="2:7" ht="15" customHeight="1" x14ac:dyDescent="0.45">
      <c r="B16" s="38" t="s">
        <v>505</v>
      </c>
      <c r="C16" s="41">
        <f>INDEX('05_CCC'!C:C,MATCH("DSO — Days Sales Outstanding",'05_CCC'!B:B,0))</f>
        <v>51.574466444910833</v>
      </c>
      <c r="D16" s="41">
        <f>INDEX('05_CCC'!D:D,MATCH("DSO — Days Sales Outstanding",'05_CCC'!B:B,0))</f>
        <v>45.653391425323946</v>
      </c>
      <c r="E16" s="41">
        <f>INDEX('05_CCC'!E:E,MATCH("DSO — Days Sales Outstanding",'05_CCC'!B:B,0))</f>
        <v>45.790347206617469</v>
      </c>
      <c r="F16" s="42">
        <f>E16-C16</f>
        <v>-5.7841192382933642</v>
      </c>
    </row>
    <row r="17" spans="2:9" ht="15" customHeight="1" x14ac:dyDescent="0.45">
      <c r="B17" s="38" t="s">
        <v>574</v>
      </c>
      <c r="C17" s="41">
        <f>INDEX('05_CCC'!C:C,MATCH("DIO — Total",'05_CCC'!B:B,0))</f>
        <v>62.755571453022462</v>
      </c>
      <c r="D17" s="41">
        <f>INDEX('05_CCC'!D:D,MATCH("DIO — Total",'05_CCC'!B:B,0))</f>
        <v>48.060081776737661</v>
      </c>
      <c r="E17" s="41">
        <f>INDEX('05_CCC'!E:E,MATCH("DIO — Total",'05_CCC'!B:B,0))</f>
        <v>43.725015443057039</v>
      </c>
      <c r="F17" s="42">
        <f>E17-C17</f>
        <v>-19.030556009965423</v>
      </c>
    </row>
    <row r="18" spans="2:9" ht="15" customHeight="1" x14ac:dyDescent="0.45">
      <c r="B18" s="38" t="s">
        <v>507</v>
      </c>
      <c r="C18" s="41">
        <f>INDEX('05_CCC'!C:C,MATCH("DPO — Days Payable Outstanding",'05_CCC'!B:B,0))</f>
        <v>42.471733965256661</v>
      </c>
      <c r="D18" s="41">
        <f>INDEX('05_CCC'!D:D,MATCH("DPO — Days Payable Outstanding",'05_CCC'!B:B,0))</f>
        <v>29.730726470358803</v>
      </c>
      <c r="E18" s="41">
        <f>INDEX('05_CCC'!E:E,MATCH("DPO — Days Payable Outstanding",'05_CCC'!B:B,0))</f>
        <v>32.014684532184937</v>
      </c>
      <c r="F18" s="42">
        <f>E18-C18</f>
        <v>-10.457049433071724</v>
      </c>
    </row>
    <row r="19" spans="2:9" ht="15" customHeight="1" x14ac:dyDescent="0.45">
      <c r="B19" s="35" t="s">
        <v>508</v>
      </c>
      <c r="C19" s="143">
        <f>INDEX('05_CCC'!C:C,MATCH("CCC = DSO + DIO(Total) − DPO",'05_CCC'!B:B,0))</f>
        <v>71.858303932676634</v>
      </c>
      <c r="D19" s="143">
        <f>INDEX('05_CCC'!D:D,MATCH("CCC = DSO + DIO(Total) − DPO",'05_CCC'!B:B,0))</f>
        <v>63.982746731702804</v>
      </c>
      <c r="E19" s="143">
        <f>INDEX('05_CCC'!E:E,MATCH("CCC = DSO + DIO(Total) − DPO",'05_CCC'!B:B,0))</f>
        <v>57.500678117489564</v>
      </c>
      <c r="F19" s="42">
        <f>E19-C19</f>
        <v>-14.35762581518707</v>
      </c>
    </row>
    <row r="21" spans="2:9" ht="15" customHeight="1" x14ac:dyDescent="0.45">
      <c r="B21" s="121" t="s">
        <v>575</v>
      </c>
    </row>
    <row r="22" spans="2:9" ht="23.25" customHeight="1" x14ac:dyDescent="0.45">
      <c r="B22" s="37" t="s">
        <v>438</v>
      </c>
      <c r="C22" s="37" t="s">
        <v>505</v>
      </c>
      <c r="D22" s="37" t="s">
        <v>506</v>
      </c>
      <c r="E22" s="37" t="s">
        <v>507</v>
      </c>
      <c r="F22" s="37" t="s">
        <v>508</v>
      </c>
    </row>
    <row r="23" spans="2:9" ht="15" customHeight="1" x14ac:dyDescent="0.45">
      <c r="B23" s="35" t="s">
        <v>444</v>
      </c>
      <c r="C23" s="144">
        <f>'07_Peer_Benchmark'!E8</f>
        <v>45.790347206617469</v>
      </c>
      <c r="D23" s="144">
        <f>'07_Peer_Benchmark'!E9</f>
        <v>43.725015443057039</v>
      </c>
      <c r="E23" s="144">
        <f>'07_Peer_Benchmark'!E10</f>
        <v>32.014684532184937</v>
      </c>
      <c r="F23" s="144">
        <f>'07_Peer_Benchmark'!E11</f>
        <v>57.500678117489564</v>
      </c>
    </row>
    <row r="24" spans="2:9" ht="15" customHeight="1" x14ac:dyDescent="0.45">
      <c r="B24" s="38" t="s">
        <v>450</v>
      </c>
      <c r="C24" s="145">
        <f>'07_Peer_Benchmark'!E14</f>
        <v>80.464761420566134</v>
      </c>
      <c r="D24" s="145">
        <f>'07_Peer_Benchmark'!E15</f>
        <v>37.424831679004171</v>
      </c>
      <c r="E24" s="145">
        <f>'07_Peer_Benchmark'!E16</f>
        <v>63.210741816953117</v>
      </c>
      <c r="F24" s="145">
        <f>'07_Peer_Benchmark'!E17</f>
        <v>54.678851282617188</v>
      </c>
    </row>
    <row r="25" spans="2:9" ht="15" customHeight="1" x14ac:dyDescent="0.45">
      <c r="B25" s="38" t="s">
        <v>456</v>
      </c>
      <c r="C25" s="145">
        <f>'07_Peer_Benchmark'!E20</f>
        <v>73.69633703252434</v>
      </c>
      <c r="D25" s="145">
        <f>'07_Peer_Benchmark'!E21</f>
        <v>38.95156414300736</v>
      </c>
      <c r="E25" s="145">
        <f>'07_Peer_Benchmark'!E22</f>
        <v>57.331098843322813</v>
      </c>
      <c r="F25" s="145">
        <f>'07_Peer_Benchmark'!E23</f>
        <v>55.316802332208887</v>
      </c>
    </row>
    <row r="26" spans="2:9" ht="15" customHeight="1" x14ac:dyDescent="0.45">
      <c r="B26" s="38" t="s">
        <v>462</v>
      </c>
      <c r="C26" s="145">
        <f>'07_Peer_Benchmark'!E26</f>
        <v>60.910484041428873</v>
      </c>
      <c r="D26" s="145">
        <f>'07_Peer_Benchmark'!E27</f>
        <v>53.555677703052254</v>
      </c>
      <c r="E26" s="145">
        <f>'07_Peer_Benchmark'!E28</f>
        <v>31.864330056906361</v>
      </c>
      <c r="F26" s="145">
        <f>'07_Peer_Benchmark'!E29</f>
        <v>82.601831687574759</v>
      </c>
    </row>
    <row r="27" spans="2:9" ht="15" customHeight="1" x14ac:dyDescent="0.45">
      <c r="B27" s="38" t="s">
        <v>467</v>
      </c>
      <c r="C27" s="145">
        <f>'07_Peer_Benchmark'!E32</f>
        <v>20.618916060462599</v>
      </c>
      <c r="D27" s="145">
        <f>'07_Peer_Benchmark'!E33</f>
        <v>95.836915112436714</v>
      </c>
      <c r="E27" s="145">
        <f>'07_Peer_Benchmark'!E34</f>
        <v>23.117878076661729</v>
      </c>
      <c r="F27" s="145">
        <f>'07_Peer_Benchmark'!E35</f>
        <v>93.337953096237584</v>
      </c>
    </row>
    <row r="29" spans="2:9" ht="15" customHeight="1" x14ac:dyDescent="0.45">
      <c r="B29" s="146" t="s">
        <v>576</v>
      </c>
      <c r="C29" s="146"/>
      <c r="D29" s="146"/>
      <c r="E29" s="146"/>
      <c r="F29" s="146"/>
      <c r="G29" s="146"/>
      <c r="H29" s="146"/>
      <c r="I29" s="146"/>
    </row>
    <row r="31" spans="2:9" ht="15" customHeight="1" x14ac:dyDescent="0.45">
      <c r="B31" s="121" t="s">
        <v>577</v>
      </c>
    </row>
    <row r="32" spans="2:9" ht="25.5" customHeight="1" x14ac:dyDescent="0.45">
      <c r="B32" s="53" t="s">
        <v>578</v>
      </c>
      <c r="C32" s="53"/>
      <c r="D32" s="53"/>
      <c r="E32" s="53"/>
      <c r="F32" s="53"/>
    </row>
    <row r="33" spans="2:6" ht="25.5" customHeight="1" x14ac:dyDescent="0.45">
      <c r="B33" s="53" t="s">
        <v>579</v>
      </c>
      <c r="C33" s="53"/>
      <c r="D33" s="53"/>
      <c r="E33" s="53"/>
      <c r="F33" s="53"/>
    </row>
    <row r="34" spans="2:6" ht="25.5" customHeight="1" x14ac:dyDescent="0.45">
      <c r="B34" s="53" t="s">
        <v>580</v>
      </c>
      <c r="C34" s="53"/>
      <c r="D34" s="53"/>
      <c r="E34" s="53"/>
      <c r="F34" s="53"/>
    </row>
    <row r="35" spans="2:6" ht="25.5" customHeight="1" x14ac:dyDescent="0.45">
      <c r="B35" s="53" t="s">
        <v>581</v>
      </c>
      <c r="C35" s="53"/>
      <c r="D35" s="53"/>
      <c r="E35" s="53"/>
      <c r="F35" s="53"/>
    </row>
  </sheetData>
  <mergeCells count="5">
    <mergeCell ref="B29:I29"/>
    <mergeCell ref="B32:F32"/>
    <mergeCell ref="B33:F33"/>
    <mergeCell ref="B34:F34"/>
    <mergeCell ref="B35:F35"/>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73"/>
  <sheetViews>
    <sheetView showGridLines="0" zoomScaleNormal="100" workbookViewId="0">
      <selection activeCell="D10" sqref="D10"/>
    </sheetView>
  </sheetViews>
  <sheetFormatPr defaultColWidth="8.6640625" defaultRowHeight="14.25" x14ac:dyDescent="0.45"/>
  <cols>
    <col min="1" max="1" width="3" customWidth="1"/>
    <col min="2" max="2" width="25" customWidth="1"/>
    <col min="3" max="3" width="45" customWidth="1"/>
    <col min="4" max="4" width="20" customWidth="1"/>
    <col min="5" max="5" width="40" customWidth="1"/>
    <col min="6" max="6" width="3" customWidth="1"/>
  </cols>
  <sheetData>
    <row r="2" spans="2:5" ht="54" customHeight="1" x14ac:dyDescent="0.45">
      <c r="B2" s="8" t="s">
        <v>582</v>
      </c>
    </row>
    <row r="4" spans="2:5" ht="15" customHeight="1" x14ac:dyDescent="0.45">
      <c r="B4" s="55" t="s">
        <v>583</v>
      </c>
      <c r="C4" s="55"/>
      <c r="D4" s="55"/>
      <c r="E4" s="55"/>
    </row>
    <row r="5" spans="2:5" ht="14.25" customHeight="1" x14ac:dyDescent="0.45">
      <c r="B5" s="1" t="s">
        <v>584</v>
      </c>
      <c r="C5" s="1" t="s">
        <v>585</v>
      </c>
      <c r="D5" s="1" t="s">
        <v>586</v>
      </c>
      <c r="E5" s="1" t="s">
        <v>587</v>
      </c>
    </row>
    <row r="6" spans="2:5" ht="14.25" customHeight="1" x14ac:dyDescent="0.45">
      <c r="B6" s="23" t="s">
        <v>588</v>
      </c>
      <c r="C6" s="23" t="s">
        <v>589</v>
      </c>
      <c r="D6" s="23" t="s">
        <v>590</v>
      </c>
      <c r="E6" s="24" t="s">
        <v>591</v>
      </c>
    </row>
    <row r="7" spans="2:5" ht="26.25" customHeight="1" x14ac:dyDescent="0.45">
      <c r="B7" s="23" t="s">
        <v>592</v>
      </c>
      <c r="C7" s="23" t="s">
        <v>593</v>
      </c>
      <c r="D7" s="23" t="s">
        <v>594</v>
      </c>
      <c r="E7" s="24" t="s">
        <v>595</v>
      </c>
    </row>
    <row r="8" spans="2:5" ht="14.25" customHeight="1" x14ac:dyDescent="0.45">
      <c r="B8" s="23" t="s">
        <v>404</v>
      </c>
      <c r="C8" s="23" t="s">
        <v>596</v>
      </c>
      <c r="D8" s="23" t="s">
        <v>597</v>
      </c>
      <c r="E8" s="24" t="s">
        <v>598</v>
      </c>
    </row>
    <row r="9" spans="2:5" ht="26.25" customHeight="1" x14ac:dyDescent="0.45">
      <c r="B9" s="23" t="s">
        <v>409</v>
      </c>
      <c r="C9" s="23" t="s">
        <v>599</v>
      </c>
      <c r="D9" s="23" t="s">
        <v>600</v>
      </c>
      <c r="E9" s="24" t="s">
        <v>601</v>
      </c>
    </row>
    <row r="10" spans="2:5" ht="26.25" customHeight="1" x14ac:dyDescent="0.45">
      <c r="B10" s="23" t="s">
        <v>602</v>
      </c>
      <c r="C10" s="23" t="s">
        <v>603</v>
      </c>
      <c r="D10" s="23" t="s">
        <v>604</v>
      </c>
      <c r="E10" s="24"/>
    </row>
    <row r="11" spans="2:5" ht="14.25" customHeight="1" x14ac:dyDescent="0.45">
      <c r="B11" s="23" t="s">
        <v>605</v>
      </c>
      <c r="C11" s="23" t="s">
        <v>606</v>
      </c>
      <c r="D11" s="23" t="s">
        <v>607</v>
      </c>
      <c r="E11" s="24" t="s">
        <v>608</v>
      </c>
    </row>
    <row r="12" spans="2:5" ht="14.25" customHeight="1" x14ac:dyDescent="0.45">
      <c r="B12" s="23" t="s">
        <v>609</v>
      </c>
      <c r="C12" s="23" t="s">
        <v>481</v>
      </c>
      <c r="D12" s="23" t="s">
        <v>610</v>
      </c>
      <c r="E12" s="24"/>
    </row>
    <row r="13" spans="2:5" ht="14.25" customHeight="1" x14ac:dyDescent="0.45">
      <c r="B13" s="23" t="s">
        <v>338</v>
      </c>
      <c r="C13" s="23" t="s">
        <v>611</v>
      </c>
      <c r="D13" s="23" t="s">
        <v>612</v>
      </c>
      <c r="E13" s="24"/>
    </row>
    <row r="14" spans="2:5" ht="26.25" customHeight="1" x14ac:dyDescent="0.45">
      <c r="B14" s="23" t="s">
        <v>613</v>
      </c>
      <c r="C14" s="23" t="s">
        <v>614</v>
      </c>
      <c r="D14" s="23" t="s">
        <v>615</v>
      </c>
      <c r="E14" s="24" t="s">
        <v>616</v>
      </c>
    </row>
    <row r="15" spans="2:5" ht="14.25" customHeight="1" x14ac:dyDescent="0.45">
      <c r="B15" s="23" t="s">
        <v>617</v>
      </c>
      <c r="C15" s="23" t="s">
        <v>618</v>
      </c>
      <c r="D15" s="23" t="s">
        <v>619</v>
      </c>
      <c r="E15" s="24" t="s">
        <v>620</v>
      </c>
    </row>
    <row r="16" spans="2:5" ht="14.25" customHeight="1" x14ac:dyDescent="0.45">
      <c r="B16" s="23" t="s">
        <v>621</v>
      </c>
      <c r="C16" s="23" t="s">
        <v>622</v>
      </c>
      <c r="D16" s="23" t="s">
        <v>623</v>
      </c>
      <c r="E16" s="24" t="s">
        <v>624</v>
      </c>
    </row>
    <row r="17" spans="2:5" ht="14.25" customHeight="1" x14ac:dyDescent="0.45">
      <c r="B17" s="23" t="s">
        <v>625</v>
      </c>
      <c r="C17" s="23" t="s">
        <v>626</v>
      </c>
      <c r="D17" s="23" t="s">
        <v>627</v>
      </c>
      <c r="E17" s="24" t="s">
        <v>628</v>
      </c>
    </row>
    <row r="18" spans="2:5" ht="14.25" customHeight="1" x14ac:dyDescent="0.45">
      <c r="B18" s="23" t="s">
        <v>629</v>
      </c>
      <c r="C18" s="23" t="s">
        <v>630</v>
      </c>
      <c r="D18" s="23" t="s">
        <v>631</v>
      </c>
      <c r="E18" s="24" t="s">
        <v>632</v>
      </c>
    </row>
    <row r="21" spans="2:5" ht="15" customHeight="1" x14ac:dyDescent="0.45">
      <c r="B21" s="55" t="s">
        <v>633</v>
      </c>
      <c r="C21" s="55"/>
      <c r="D21" s="55"/>
      <c r="E21" s="55"/>
    </row>
    <row r="22" spans="2:5" ht="14.25" customHeight="1" x14ac:dyDescent="0.45">
      <c r="B22" s="1" t="s">
        <v>634</v>
      </c>
      <c r="C22" s="1" t="s">
        <v>635</v>
      </c>
      <c r="D22" s="1" t="s">
        <v>636</v>
      </c>
      <c r="E22" s="1" t="s">
        <v>637</v>
      </c>
    </row>
    <row r="23" spans="2:5" ht="14.25" customHeight="1" x14ac:dyDescent="0.45">
      <c r="B23" s="49" t="s">
        <v>37</v>
      </c>
      <c r="C23" s="23" t="s">
        <v>638</v>
      </c>
      <c r="D23" s="24" t="s">
        <v>639</v>
      </c>
      <c r="E23" s="23" t="s">
        <v>640</v>
      </c>
    </row>
    <row r="24" spans="2:5" ht="14.25" customHeight="1" x14ac:dyDescent="0.45">
      <c r="B24" s="49" t="s">
        <v>39</v>
      </c>
      <c r="C24" s="23" t="s">
        <v>641</v>
      </c>
      <c r="D24" s="24" t="s">
        <v>639</v>
      </c>
      <c r="E24" s="23" t="s">
        <v>642</v>
      </c>
    </row>
    <row r="25" spans="2:5" ht="14.25" customHeight="1" x14ac:dyDescent="0.45">
      <c r="B25" s="49" t="s">
        <v>45</v>
      </c>
      <c r="C25" s="23" t="s">
        <v>643</v>
      </c>
      <c r="D25" s="24" t="s">
        <v>639</v>
      </c>
      <c r="E25" s="23" t="s">
        <v>644</v>
      </c>
    </row>
    <row r="26" spans="2:5" ht="14.25" customHeight="1" x14ac:dyDescent="0.45">
      <c r="B26" s="49" t="s">
        <v>645</v>
      </c>
      <c r="C26" s="23" t="s">
        <v>646</v>
      </c>
      <c r="D26" s="24" t="s">
        <v>639</v>
      </c>
      <c r="E26" s="23"/>
    </row>
    <row r="27" spans="2:5" ht="14.25" customHeight="1" x14ac:dyDescent="0.45">
      <c r="B27" s="49" t="s">
        <v>51</v>
      </c>
      <c r="C27" s="23" t="s">
        <v>647</v>
      </c>
      <c r="D27" s="24" t="s">
        <v>648</v>
      </c>
      <c r="E27" s="23" t="s">
        <v>649</v>
      </c>
    </row>
    <row r="28" spans="2:5" ht="14.25" customHeight="1" x14ac:dyDescent="0.45">
      <c r="B28" s="49" t="s">
        <v>55</v>
      </c>
      <c r="C28" s="23" t="s">
        <v>650</v>
      </c>
      <c r="D28" s="24" t="s">
        <v>651</v>
      </c>
      <c r="E28" s="23" t="s">
        <v>652</v>
      </c>
    </row>
    <row r="29" spans="2:5" ht="14.25" customHeight="1" x14ac:dyDescent="0.45">
      <c r="B29" s="49" t="s">
        <v>57</v>
      </c>
      <c r="C29" s="23" t="s">
        <v>653</v>
      </c>
      <c r="D29" s="24" t="s">
        <v>651</v>
      </c>
      <c r="E29" s="23"/>
    </row>
    <row r="30" spans="2:5" ht="14.25" customHeight="1" x14ac:dyDescent="0.45">
      <c r="B30" s="49" t="s">
        <v>59</v>
      </c>
      <c r="C30" s="23" t="s">
        <v>654</v>
      </c>
      <c r="D30" s="24" t="s">
        <v>651</v>
      </c>
      <c r="E30" s="23" t="s">
        <v>655</v>
      </c>
    </row>
    <row r="31" spans="2:5" ht="14.25" customHeight="1" x14ac:dyDescent="0.45">
      <c r="B31" s="49" t="s">
        <v>61</v>
      </c>
      <c r="C31" s="23" t="s">
        <v>656</v>
      </c>
      <c r="D31" s="24" t="s">
        <v>651</v>
      </c>
      <c r="E31" s="23" t="s">
        <v>657</v>
      </c>
    </row>
    <row r="32" spans="2:5" ht="14.25" customHeight="1" x14ac:dyDescent="0.45">
      <c r="B32" s="49" t="s">
        <v>63</v>
      </c>
      <c r="C32" s="23" t="s">
        <v>658</v>
      </c>
      <c r="D32" s="24" t="s">
        <v>651</v>
      </c>
      <c r="E32" s="23"/>
    </row>
    <row r="33" spans="2:5" ht="14.25" customHeight="1" x14ac:dyDescent="0.45">
      <c r="B33" s="49" t="s">
        <v>65</v>
      </c>
      <c r="C33" s="23" t="s">
        <v>659</v>
      </c>
      <c r="D33" s="24" t="s">
        <v>660</v>
      </c>
      <c r="E33" s="23"/>
    </row>
    <row r="34" spans="2:5" ht="14.25" customHeight="1" x14ac:dyDescent="0.45">
      <c r="B34" s="49" t="s">
        <v>73</v>
      </c>
      <c r="C34" s="23" t="s">
        <v>661</v>
      </c>
      <c r="D34" s="24" t="s">
        <v>662</v>
      </c>
      <c r="E34" s="23"/>
    </row>
    <row r="35" spans="2:5" ht="14.25" customHeight="1" x14ac:dyDescent="0.45">
      <c r="B35" s="49" t="s">
        <v>75</v>
      </c>
      <c r="C35" s="23" t="s">
        <v>663</v>
      </c>
      <c r="D35" s="24" t="s">
        <v>664</v>
      </c>
      <c r="E35" s="23" t="s">
        <v>665</v>
      </c>
    </row>
    <row r="36" spans="2:5" ht="14.25" customHeight="1" x14ac:dyDescent="0.45">
      <c r="B36" s="49" t="s">
        <v>89</v>
      </c>
      <c r="C36" s="23" t="s">
        <v>666</v>
      </c>
      <c r="D36" s="24" t="s">
        <v>667</v>
      </c>
      <c r="E36" s="23" t="s">
        <v>668</v>
      </c>
    </row>
    <row r="37" spans="2:5" ht="14.25" customHeight="1" x14ac:dyDescent="0.45">
      <c r="B37" s="49" t="s">
        <v>93</v>
      </c>
      <c r="C37" s="23" t="s">
        <v>669</v>
      </c>
      <c r="D37" s="24" t="s">
        <v>667</v>
      </c>
      <c r="E37" s="23" t="s">
        <v>670</v>
      </c>
    </row>
    <row r="38" spans="2:5" ht="14.25" customHeight="1" x14ac:dyDescent="0.45">
      <c r="B38" s="49" t="s">
        <v>95</v>
      </c>
      <c r="C38" s="23" t="s">
        <v>671</v>
      </c>
      <c r="D38" s="24" t="s">
        <v>667</v>
      </c>
      <c r="E38" s="23" t="s">
        <v>672</v>
      </c>
    </row>
    <row r="39" spans="2:5" ht="14.25" customHeight="1" x14ac:dyDescent="0.45">
      <c r="B39" s="49" t="s">
        <v>673</v>
      </c>
      <c r="C39" s="23" t="s">
        <v>674</v>
      </c>
      <c r="D39" s="24" t="s">
        <v>675</v>
      </c>
      <c r="E39" s="23" t="s">
        <v>676</v>
      </c>
    </row>
    <row r="40" spans="2:5" ht="14.25" customHeight="1" x14ac:dyDescent="0.45">
      <c r="B40" s="49" t="s">
        <v>111</v>
      </c>
      <c r="C40" s="23" t="s">
        <v>677</v>
      </c>
      <c r="D40" s="24" t="s">
        <v>678</v>
      </c>
      <c r="E40" s="23"/>
    </row>
    <row r="41" spans="2:5" ht="14.25" customHeight="1" x14ac:dyDescent="0.45">
      <c r="B41" s="49" t="s">
        <v>115</v>
      </c>
      <c r="C41" s="23" t="s">
        <v>679</v>
      </c>
      <c r="D41" s="24" t="s">
        <v>678</v>
      </c>
      <c r="E41" s="23"/>
    </row>
    <row r="42" spans="2:5" ht="14.25" customHeight="1" x14ac:dyDescent="0.45">
      <c r="B42" s="49" t="s">
        <v>123</v>
      </c>
      <c r="C42" s="23" t="s">
        <v>122</v>
      </c>
      <c r="D42" s="24" t="s">
        <v>680</v>
      </c>
      <c r="E42" s="23" t="s">
        <v>681</v>
      </c>
    </row>
    <row r="43" spans="2:5" ht="14.25" customHeight="1" x14ac:dyDescent="0.45">
      <c r="B43" s="49" t="s">
        <v>133</v>
      </c>
      <c r="C43" s="23" t="s">
        <v>132</v>
      </c>
      <c r="D43" s="24" t="s">
        <v>680</v>
      </c>
      <c r="E43" s="23"/>
    </row>
    <row r="44" spans="2:5" ht="14.25" customHeight="1" x14ac:dyDescent="0.45">
      <c r="B44" s="49" t="s">
        <v>129</v>
      </c>
      <c r="C44" s="23" t="s">
        <v>128</v>
      </c>
      <c r="D44" s="24" t="s">
        <v>680</v>
      </c>
      <c r="E44" s="23" t="s">
        <v>682</v>
      </c>
    </row>
    <row r="45" spans="2:5" ht="14.25" customHeight="1" x14ac:dyDescent="0.45">
      <c r="B45" s="49" t="s">
        <v>135</v>
      </c>
      <c r="C45" s="23" t="s">
        <v>134</v>
      </c>
      <c r="D45" s="24" t="s">
        <v>680</v>
      </c>
      <c r="E45" s="23" t="s">
        <v>484</v>
      </c>
    </row>
    <row r="46" spans="2:5" ht="14.25" customHeight="1" x14ac:dyDescent="0.45">
      <c r="B46" s="49" t="s">
        <v>139</v>
      </c>
      <c r="C46" s="23" t="s">
        <v>138</v>
      </c>
      <c r="D46" s="24" t="s">
        <v>680</v>
      </c>
      <c r="E46" s="23"/>
    </row>
    <row r="47" spans="2:5" ht="14.25" customHeight="1" x14ac:dyDescent="0.45">
      <c r="B47" s="49" t="s">
        <v>141</v>
      </c>
      <c r="C47" s="23" t="s">
        <v>140</v>
      </c>
      <c r="D47" s="24" t="s">
        <v>680</v>
      </c>
      <c r="E47" s="23"/>
    </row>
    <row r="48" spans="2:5" ht="14.25" customHeight="1" x14ac:dyDescent="0.45">
      <c r="B48" s="49" t="s">
        <v>151</v>
      </c>
      <c r="C48" s="23" t="s">
        <v>683</v>
      </c>
      <c r="D48" s="24" t="s">
        <v>680</v>
      </c>
      <c r="E48" s="23" t="s">
        <v>393</v>
      </c>
    </row>
    <row r="51" spans="2:5" ht="15" customHeight="1" x14ac:dyDescent="0.45">
      <c r="B51" s="55" t="s">
        <v>684</v>
      </c>
      <c r="C51" s="55"/>
      <c r="D51" s="55"/>
      <c r="E51" s="55"/>
    </row>
    <row r="52" spans="2:5" ht="14.25" customHeight="1" x14ac:dyDescent="0.45">
      <c r="B52" s="1" t="s">
        <v>685</v>
      </c>
      <c r="C52" s="1" t="s">
        <v>686</v>
      </c>
      <c r="D52" s="1" t="s">
        <v>687</v>
      </c>
      <c r="E52" s="1" t="s">
        <v>688</v>
      </c>
    </row>
    <row r="53" spans="2:5" ht="14.25" customHeight="1" x14ac:dyDescent="0.45">
      <c r="B53" s="50"/>
      <c r="C53" s="50"/>
      <c r="D53" s="50"/>
      <c r="E53" s="50"/>
    </row>
    <row r="54" spans="2:5" ht="14.25" customHeight="1" x14ac:dyDescent="0.45">
      <c r="B54" s="50"/>
      <c r="C54" s="50"/>
      <c r="D54" s="50"/>
      <c r="E54" s="50"/>
    </row>
    <row r="55" spans="2:5" ht="14.25" customHeight="1" x14ac:dyDescent="0.45">
      <c r="B55" s="50"/>
      <c r="C55" s="50"/>
      <c r="D55" s="50"/>
      <c r="E55" s="50"/>
    </row>
    <row r="56" spans="2:5" ht="14.25" customHeight="1" x14ac:dyDescent="0.45">
      <c r="B56" s="50"/>
      <c r="C56" s="50"/>
      <c r="D56" s="50"/>
      <c r="E56" s="50"/>
    </row>
    <row r="57" spans="2:5" ht="14.25" customHeight="1" x14ac:dyDescent="0.45">
      <c r="B57" s="50"/>
      <c r="C57" s="50"/>
      <c r="D57" s="50"/>
      <c r="E57" s="50"/>
    </row>
    <row r="58" spans="2:5" ht="14.25" customHeight="1" x14ac:dyDescent="0.45">
      <c r="B58" s="50"/>
      <c r="C58" s="50"/>
      <c r="D58" s="50"/>
      <c r="E58" s="50"/>
    </row>
    <row r="59" spans="2:5" ht="14.25" customHeight="1" x14ac:dyDescent="0.45">
      <c r="B59" s="50"/>
      <c r="C59" s="50"/>
      <c r="D59" s="50"/>
      <c r="E59" s="50"/>
    </row>
    <row r="60" spans="2:5" ht="14.25" customHeight="1" x14ac:dyDescent="0.45">
      <c r="B60" s="50"/>
      <c r="C60" s="50"/>
      <c r="D60" s="50"/>
      <c r="E60" s="50"/>
    </row>
    <row r="61" spans="2:5" ht="14.25" customHeight="1" x14ac:dyDescent="0.45">
      <c r="B61" s="50"/>
      <c r="C61" s="50"/>
      <c r="D61" s="50"/>
      <c r="E61" s="50"/>
    </row>
    <row r="62" spans="2:5" ht="14.25" customHeight="1" x14ac:dyDescent="0.45">
      <c r="B62" s="50"/>
      <c r="C62" s="50"/>
      <c r="D62" s="50"/>
      <c r="E62" s="50"/>
    </row>
    <row r="65" spans="2:5" ht="14.25" customHeight="1" x14ac:dyDescent="0.45">
      <c r="B65" s="25" t="s">
        <v>689</v>
      </c>
    </row>
    <row r="66" spans="2:5" ht="30" customHeight="1" x14ac:dyDescent="0.45">
      <c r="B66" s="57" t="s">
        <v>690</v>
      </c>
      <c r="C66" s="57"/>
      <c r="D66" s="57"/>
      <c r="E66" s="57"/>
    </row>
    <row r="67" spans="2:5" ht="30" customHeight="1" x14ac:dyDescent="0.45">
      <c r="B67" s="57" t="s">
        <v>691</v>
      </c>
      <c r="C67" s="57"/>
      <c r="D67" s="57"/>
      <c r="E67" s="57"/>
    </row>
    <row r="68" spans="2:5" ht="30" customHeight="1" x14ac:dyDescent="0.45">
      <c r="B68" s="57" t="s">
        <v>692</v>
      </c>
      <c r="C68" s="57"/>
      <c r="D68" s="57"/>
      <c r="E68" s="57"/>
    </row>
    <row r="69" spans="2:5" ht="30" customHeight="1" x14ac:dyDescent="0.45">
      <c r="B69" s="57" t="s">
        <v>693</v>
      </c>
      <c r="C69" s="57"/>
      <c r="D69" s="57"/>
      <c r="E69" s="57"/>
    </row>
    <row r="70" spans="2:5" ht="30" customHeight="1" x14ac:dyDescent="0.45">
      <c r="B70" s="57" t="s">
        <v>694</v>
      </c>
      <c r="C70" s="57"/>
      <c r="D70" s="57"/>
      <c r="E70" s="57"/>
    </row>
    <row r="71" spans="2:5" ht="30" customHeight="1" x14ac:dyDescent="0.45">
      <c r="B71" s="57" t="s">
        <v>695</v>
      </c>
      <c r="C71" s="57"/>
      <c r="D71" s="57"/>
      <c r="E71" s="57"/>
    </row>
    <row r="72" spans="2:5" ht="30" customHeight="1" x14ac:dyDescent="0.45">
      <c r="B72" s="57" t="s">
        <v>696</v>
      </c>
      <c r="C72" s="57"/>
      <c r="D72" s="57"/>
      <c r="E72" s="57"/>
    </row>
    <row r="73" spans="2:5" ht="30" customHeight="1" x14ac:dyDescent="0.45">
      <c r="B73" s="57" t="s">
        <v>697</v>
      </c>
      <c r="C73" s="57"/>
      <c r="D73" s="57"/>
      <c r="E73" s="57"/>
    </row>
  </sheetData>
  <mergeCells count="11">
    <mergeCell ref="B73:E73"/>
    <mergeCell ref="B68:E68"/>
    <mergeCell ref="B69:E69"/>
    <mergeCell ref="B70:E70"/>
    <mergeCell ref="B71:E71"/>
    <mergeCell ref="B72:E72"/>
    <mergeCell ref="B4:E4"/>
    <mergeCell ref="B21:E21"/>
    <mergeCell ref="B51:E51"/>
    <mergeCell ref="B66:E66"/>
    <mergeCell ref="B67:E6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00_Cover</vt:lpstr>
      <vt:lpstr>01_Inputs</vt:lpstr>
      <vt:lpstr>02_Assumptions</vt:lpstr>
      <vt:lpstr>03_FS_Restated</vt:lpstr>
      <vt:lpstr>04_Ratios</vt:lpstr>
      <vt:lpstr>05_CCC</vt:lpstr>
      <vt:lpstr>06_Peer_Inputs</vt:lpstr>
      <vt:lpstr>07_Peer_Benchmark</vt:lpstr>
      <vt:lpstr>08_Dashboard</vt:lpstr>
      <vt:lpstr>09_Reference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Kien Nguyen</cp:lastModifiedBy>
  <cp:revision>3</cp:revision>
  <dcterms:created xsi:type="dcterms:W3CDTF">2026-07-06T02:58:54Z</dcterms:created>
  <dcterms:modified xsi:type="dcterms:W3CDTF">2026-10-01T22:53:22Z</dcterms:modified>
  <dc:language>en-US</dc:language>
</cp:coreProperties>
</file>