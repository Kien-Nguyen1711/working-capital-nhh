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iveeur-my.sharepoint.com/personal/756698ac_eur_nl/Documents/CORPORATE FINANCE FP&amp;A/Project/NHH test model sản xuất/BCTC inputs/"/>
    </mc:Choice>
  </mc:AlternateContent>
  <xr:revisionPtr revIDLastSave="3" documentId="11_B5D93F3C70318FB2D08A9B84F7842BA761C87DB2" xr6:coauthVersionLast="47" xr6:coauthVersionMax="47" xr10:uidLastSave="{349F9A73-6594-4E71-82C8-6188D27BB09B}"/>
  <bookViews>
    <workbookView xWindow="-98" yWindow="-98" windowWidth="21795" windowHeight="12975" tabRatio="500" firstSheet="4" activeTab="4" xr2:uid="{00000000-000D-0000-FFFF-FFFF00000000}"/>
  </bookViews>
  <sheets>
    <sheet name="00_Doc_Nguon" sheetId="1" r:id="rId1"/>
    <sheet name="A_BCDKT_TaiSan" sheetId="2" r:id="rId2"/>
    <sheet name="B_BCDKT_NguonVon" sheetId="3" r:id="rId3"/>
    <sheet name="C_HangTonKho" sheetId="4" r:id="rId4"/>
    <sheet name="D_KQKD" sheetId="5" r:id="rId5"/>
    <sheet name="E_BoSung" sheetId="6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7" i="6" l="1"/>
  <c r="D17" i="6"/>
  <c r="C17" i="6"/>
  <c r="E16" i="6"/>
  <c r="D16" i="6"/>
  <c r="C16" i="6"/>
  <c r="E15" i="6"/>
  <c r="D15" i="6"/>
  <c r="C15" i="6"/>
  <c r="E14" i="6"/>
  <c r="D14" i="6"/>
  <c r="C14" i="6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5" i="4"/>
  <c r="D25" i="4"/>
  <c r="C25" i="4"/>
  <c r="E24" i="4"/>
  <c r="D24" i="4"/>
  <c r="C24" i="4"/>
  <c r="E23" i="4"/>
  <c r="D23" i="4"/>
  <c r="C23" i="4"/>
  <c r="E22" i="4"/>
  <c r="D22" i="4"/>
  <c r="C22" i="4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</calcChain>
</file>

<file path=xl/sharedStrings.xml><?xml version="1.0" encoding="utf-8"?>
<sst xmlns="http://schemas.openxmlformats.org/spreadsheetml/2006/main" count="328" uniqueCount="262">
  <si>
    <t>NHỰA HÀ NỘI (NHH) — DỮ LIỆU THÔ BCTC HỢP NHẤT KIỂM TOÁN</t>
  </si>
  <si>
    <t>Chuẩn bị để nhập trực tiếp vào tab 01_Inputs của Test_FP&amp;A_model</t>
  </si>
  <si>
    <t>NGUỒN DỮ LIỆU</t>
  </si>
  <si>
    <t>FY2025 + FY2024</t>
  </si>
  <si>
    <t>BCTC hợp nhất đã kiểm toán năm 2025 — Ernst &amp; Young Việt Nam, ký ngày 27/03/2026 (B01-DN/HN, B02-DN/HN, B03-DN/HN, B09-DN/HN)</t>
  </si>
  <si>
    <t>FY2024 + FY2023</t>
  </si>
  <si>
    <t>BCTC hợp nhất đã kiểm toán năm 2024 — Ernst &amp; Young Việt Nam, ký ngày 28/03/2025 (B01-DN/HN, B02-DN/HN, B03-DN/HN, B09-DN/HN)</t>
  </si>
  <si>
    <t>FY2022</t>
  </si>
  <si>
    <t>CHƯA CÓ — cần tải BCTC hợp nhất kiểm toán năm 2023 (xem mục CẢNH BÁO bên dưới)</t>
  </si>
  <si>
    <t>PHẠM VI</t>
  </si>
  <si>
    <t>Loại báo cáo</t>
  </si>
  <si>
    <t>HỢP NHẤT (consolidated). Đã loại trừ giao dịch nội bộ tập đoàn -&gt; DSO/DPO phản ánh đúng vòng tiền với đối tác bên ngoài.</t>
  </si>
  <si>
    <t>Kỳ</t>
  </si>
  <si>
    <t>Năm tài chính kết thúc 31/12. FY2023, FY2024, FY2025.</t>
  </si>
  <si>
    <t>Đơn vị</t>
  </si>
  <si>
    <t>VND (đồng), nguyên bản theo báo cáo, không làm tròn.</t>
  </si>
  <si>
    <t>QUY ƯỚC TRÌNH BÀY</t>
  </si>
  <si>
    <t>Bảng cân đối kế toán</t>
  </si>
  <si>
    <t>Số dư CUỐI NĂM (31/12) cho từng cột. Không tính bình quân — việc lấy bình quân do sheet 05_CCC xử lý.</t>
  </si>
  <si>
    <t>Kết quả kinh doanh</t>
  </si>
  <si>
    <t>Số phát sinh cả năm, lấy nguyên cột 'Năm nay' / 'Năm trước'.</t>
  </si>
  <si>
    <t>Tài khoản giảm trừ</t>
  </si>
  <si>
    <t>Các dòng mang tính giảm trừ (139/149/223/226/229, giảm trừ doanh thu, giá vốn, chi phí) được nhập SỐ DƯƠNG nhất quán. Người dùng tự đặt dấu trừ trong công thức.</t>
  </si>
  <si>
    <t>Ngoại lệ dấu âm</t>
  </si>
  <si>
    <t>MS 40 (Lợi nhuận khác) FY2024 và MS 52 (thuế hoãn lại) FY2023 là số ÂM thực sự -&gt; giữ nguyên dấu âm.</t>
  </si>
  <si>
    <t>Màu chữ</t>
  </si>
  <si>
    <t>XANH DƯƠNG = số hardcode trích từ BCTC. ĐEN = công thức kiểm tra.</t>
  </si>
  <si>
    <t>KIỂM TRA HỒI TỐ (RESTATEMENT)</t>
  </si>
  <si>
    <t>Kết luận</t>
  </si>
  <si>
    <t>KHÔNG có hồi tố số liệu. Số đầu năm FY2025 khớp tuyệt đối số cuối năm FY2024 trên cả BCĐKT và KQKD.</t>
  </si>
  <si>
    <t>Lưu ý EPS</t>
  </si>
  <si>
    <t>BCTC 2025 ghi cột EPS năm trước là 'Trình bày lại' — do vốn cổ phần tăng từ 728,80 tỷ lên 1.129,64 tỷ, EPS FY2024 được tính lại theo số cổ phiếu mới. Chỉ ảnh hưởng EPS, KHÔNG ảnh hưởng BCĐKT/KQKD.</t>
  </si>
  <si>
    <t>CẢNH BÁO — FY2022</t>
  </si>
  <si>
    <t>Vấn đề</t>
  </si>
  <si>
    <t>File tổng hợp của bên thứ ba ('Báo cáo Tài sản Nhựa Hà Nội 2022-2024') có cột FY2022 KHÔNG khớp toán, không dùng được.</t>
  </si>
  <si>
    <t>Lỗi 1</t>
  </si>
  <si>
    <t>MS 270 ghi 2.836.753.341.433 nhưng MS 100 + MS 200 = 2.386.753.341.433. Lệch 450.000.000.000.</t>
  </si>
  <si>
    <t>Lỗi 2</t>
  </si>
  <si>
    <t>MS 220 ghi 836.720.493.134 nhưng MS 221 + 224 + 227 = 936.720.493.134. Lệch 100.000.000.000.</t>
  </si>
  <si>
    <t>Hệ quả</t>
  </si>
  <si>
    <t>Hai lỗi mâu thuẫn nhau nên không thể suy ngược ra số đúng. PHẢI đối chiếu lại với BCTC hợp nhất kiểm toán 2023 bản gốc trước khi dùng.</t>
  </si>
  <si>
    <t>Đã xác minh</t>
  </si>
  <si>
    <t>Các cột FY2023 và FY2024 trong file đó đã được đối chiếu với bản gốc và CHÍNH XÁC.</t>
  </si>
  <si>
    <t>CÒN THIẾU CHO MODEL</t>
  </si>
  <si>
    <t>06_AR_Aging</t>
  </si>
  <si>
    <t>BCTC công bố không có aging bucket theo khách hàng. Cần dữ liệu nội bộ hoặc sinh synthetic data ràng buộc tổng khớp MS 131.</t>
  </si>
  <si>
    <t>07_Inventory_ABC</t>
  </si>
  <si>
    <t>BCTC công bố không có dữ liệu SKU-level. Tổng phải khớp MS 141.</t>
  </si>
  <si>
    <t>08_CashForecast_13W</t>
  </si>
  <si>
    <t>Cần doanh thu theo khách hàng (thuyết minh bên liên quan) và lịch trả nợ vay.</t>
  </si>
  <si>
    <t>A. BẢNG CÂN ĐỐI KẾ TOÁN — PHẦN TÀI SẢN (HỢP NHẤT)</t>
  </si>
  <si>
    <t>Số dư cuối năm 31/12 | Nguồn: BCTC hợp nhất kiểm toán 2024 &amp; 2025, mẫu B01-DN/HN</t>
  </si>
  <si>
    <t>Đơn vị tính: VND</t>
  </si>
  <si>
    <t>Mã số</t>
  </si>
  <si>
    <t>Chỉ tiêu</t>
  </si>
  <si>
    <t>FY2023</t>
  </si>
  <si>
    <t>FY2024</t>
  </si>
  <si>
    <t>FY2025</t>
  </si>
  <si>
    <t>Ghi chú</t>
  </si>
  <si>
    <t>A. TÀI SẢN NGẮN HẠN</t>
  </si>
  <si>
    <t>I. Tiền và các khoản tương đương tiền</t>
  </si>
  <si>
    <t>1. Tiền</t>
  </si>
  <si>
    <t>2. Các khoản tương đương tiền</t>
  </si>
  <si>
    <t>II. Đầu tư tài chính ngắn hạn</t>
  </si>
  <si>
    <t>1. Đầu tư nắm giữ đến ngày đáo hạn</t>
  </si>
  <si>
    <t>Tiền gửi có kỳ hạn</t>
  </si>
  <si>
    <t>III. Các khoản phải thu ngắn hạn</t>
  </si>
  <si>
    <t>1. Phải thu ngắn hạn của khách hàng</t>
  </si>
  <si>
    <t>AR — dùng cho DSO</t>
  </si>
  <si>
    <t>2. Trả trước cho người bán ngắn hạn</t>
  </si>
  <si>
    <t>3. Phải thu về cho vay ngắn hạn</t>
  </si>
  <si>
    <t>4. Phải thu ngắn hạn khác</t>
  </si>
  <si>
    <t>5. Dự phòng phải thu ngắn hạn khó đòi</t>
  </si>
  <si>
    <t>GIẢM TRỪ — nhập số dương</t>
  </si>
  <si>
    <t>IV. Hàng tồn kho (thuần)</t>
  </si>
  <si>
    <t>1. Hàng tồn kho (giá gốc)</t>
  </si>
  <si>
    <t>Chi tiết tại sheet C</t>
  </si>
  <si>
    <t>2. Dự phòng giảm giá hàng tồn kho</t>
  </si>
  <si>
    <t>V. Tài sản ngắn hạn khác</t>
  </si>
  <si>
    <t>1. Chi phí trả trước ngắn hạn</t>
  </si>
  <si>
    <t>2. Thuế GTGT được khấu trừ</t>
  </si>
  <si>
    <t>3. Thuế và các khoản khác phải thu Nhà nước</t>
  </si>
  <si>
    <t>B. TÀI SẢN DÀI HẠN</t>
  </si>
  <si>
    <t>I. Các khoản phải thu dài hạn</t>
  </si>
  <si>
    <t>1. Phải thu dài hạn khác</t>
  </si>
  <si>
    <t>II. Tài sản cố định</t>
  </si>
  <si>
    <t>1. Tài sản cố định hữu hình</t>
  </si>
  <si>
    <t>- Nguyên giá</t>
  </si>
  <si>
    <t>- Giá trị hao mòn luỹ kế</t>
  </si>
  <si>
    <t>2. Tài sản cố định thuê tài chính</t>
  </si>
  <si>
    <t>3. Tài sản cố định vô hình</t>
  </si>
  <si>
    <t>III. Tài sản dở dang dài hạn</t>
  </si>
  <si>
    <t>1. Chi phí xây dựng cơ bản dở dang</t>
  </si>
  <si>
    <t>Capex lớn phát sinh FY2025</t>
  </si>
  <si>
    <t>IV. Đầu tư tài chính dài hạn</t>
  </si>
  <si>
    <t>1. Đầu tư vào công ty liên kết</t>
  </si>
  <si>
    <t>PBAT An Phát</t>
  </si>
  <si>
    <t>2. Đầu tư nắm giữ đến ngày đáo hạn</t>
  </si>
  <si>
    <t>Trái phiếu nhận chuyển nhượng</t>
  </si>
  <si>
    <t>V. Tài sản dài hạn khác</t>
  </si>
  <si>
    <t>1. Chi phí trả trước dài hạn</t>
  </si>
  <si>
    <t>2. Tài sản thuế thu nhập hoãn lại</t>
  </si>
  <si>
    <t>3. Lợi thế thương mại</t>
  </si>
  <si>
    <t>Đã phân bổ hết (Công ty An Trung)</t>
  </si>
  <si>
    <t>TỔNG CỘNG TÀI SẢN</t>
  </si>
  <si>
    <t>KIỂM TRA KHỚP TOÁN</t>
  </si>
  <si>
    <t>MS 270 - (MS 100 + MS 200)</t>
  </si>
  <si>
    <t>Phải bằng 0</t>
  </si>
  <si>
    <t>MS 220 - (MS 221 + 224 + 227)</t>
  </si>
  <si>
    <t>MS 221 - (MS 222 - MS 223)</t>
  </si>
  <si>
    <t>MS 140 - (MS 141 - MS 149)</t>
  </si>
  <si>
    <t>MS 130 - (131+132+135+136-137)</t>
  </si>
  <si>
    <t>B. BẢNG CÂN ĐỐI KẾ TOÁN — PHẦN NGUỒN VỐN (HỢP NHẤT)</t>
  </si>
  <si>
    <t>C. NỢ PHẢI TRẢ</t>
  </si>
  <si>
    <t>I. Nợ ngắn hạn</t>
  </si>
  <si>
    <t>1. Phải trả người bán ngắn hạn</t>
  </si>
  <si>
    <t>AP — dùng cho DPO</t>
  </si>
  <si>
    <t>2. Người mua trả tiền trước ngắn hạn</t>
  </si>
  <si>
    <t>3. Thuế và các khoản phải nộp Nhà nước</t>
  </si>
  <si>
    <t>4. Phải trả người lao động</t>
  </si>
  <si>
    <t>5. Chi phí phải trả ngắn hạn</t>
  </si>
  <si>
    <t>6. Phải trả ngắn hạn khác</t>
  </si>
  <si>
    <t>7. Vay và nợ thuê tài chính ngắn hạn</t>
  </si>
  <si>
    <t>Short-term debt</t>
  </si>
  <si>
    <t>8. Quỹ khen thưởng, phúc lợi</t>
  </si>
  <si>
    <t>II. Nợ dài hạn</t>
  </si>
  <si>
    <t>1. Vay và nợ thuê tài chính dài hạn</t>
  </si>
  <si>
    <t>Long-term debt</t>
  </si>
  <si>
    <t>D. VỐN CHỦ SỞ HỮU</t>
  </si>
  <si>
    <t>I. Vốn chủ sở hữu</t>
  </si>
  <si>
    <t>1. Vốn cổ phần đã phát hành</t>
  </si>
  <si>
    <t>Tăng vốn trong FY2025</t>
  </si>
  <si>
    <t>2. Thặng dư vốn cổ phần</t>
  </si>
  <si>
    <t>3. Quỹ đầu tư phát triển</t>
  </si>
  <si>
    <t>4. Lợi nhuận sau thuế chưa phân phối</t>
  </si>
  <si>
    <t>421a</t>
  </si>
  <si>
    <t>- Lũy kế đến cuối năm trước</t>
  </si>
  <si>
    <t>421b</t>
  </si>
  <si>
    <t>- Năm nay</t>
  </si>
  <si>
    <t>5. Lợi ích của cổ đông không kiểm soát</t>
  </si>
  <si>
    <t>TỔNG CỘNG NGUỒN VỐN</t>
  </si>
  <si>
    <t>MS 440 - (MS 300 + MS 400)</t>
  </si>
  <si>
    <t>MS 300 - (MS 310 + MS 330)</t>
  </si>
  <si>
    <t>MS 310 - tổng các khoản mục nợ ngắn hạn</t>
  </si>
  <si>
    <t>MS 410 - tổng các khoản mục VCSH</t>
  </si>
  <si>
    <t>MS 440 (sheet B) - MS 270 (sheet A)</t>
  </si>
  <si>
    <t>C. TÁCH HÀNG TỒN KHO — THUYẾT MINH SỐ 8 (2024) / SỐ 9 (2025)</t>
  </si>
  <si>
    <t>Giá gốc theo từng loại | Bắt buộc cho DIO tách NVL / WIP / FG tại sheet 05_CCC</t>
  </si>
  <si>
    <t>Mã TK</t>
  </si>
  <si>
    <t>Chỉ tiêu (giá gốc)</t>
  </si>
  <si>
    <t>Hàng đang đi trên đường</t>
  </si>
  <si>
    <t>Nguyên liệu, vật liệu (NVL)</t>
  </si>
  <si>
    <t>DIO — NVL</t>
  </si>
  <si>
    <t>Công cụ, dụng cụ</t>
  </si>
  <si>
    <t>Chi phí sản xuất kinh doanh dở dang (WIP)</t>
  </si>
  <si>
    <t>DIO — WIP</t>
  </si>
  <si>
    <t>Thành phẩm (FG)</t>
  </si>
  <si>
    <t>DIO — FG</t>
  </si>
  <si>
    <t>Hàng hóa</t>
  </si>
  <si>
    <t>Hàng gửi bán</t>
  </si>
  <si>
    <t>TỔNG GIÁ GỐC HÀNG TỒN KHO</t>
  </si>
  <si>
    <t>Khớp MS 141 trên BCĐKT</t>
  </si>
  <si>
    <t>159a</t>
  </si>
  <si>
    <t>Dự phòng giảm giá HTK — Số đầu năm</t>
  </si>
  <si>
    <t>Diễn biến dự phòng trong năm</t>
  </si>
  <si>
    <t>159b</t>
  </si>
  <si>
    <t xml:space="preserve">  Cộng: Trích lập trong năm</t>
  </si>
  <si>
    <t>159c</t>
  </si>
  <si>
    <t xml:space="preserve">  Trừ: Hoàn nhập &amp; sử dụng trong năm</t>
  </si>
  <si>
    <t>Dự phòng giảm giá hàng tồn kho (cuối năm)</t>
  </si>
  <si>
    <t>GIẢM TRỪ — nhập số dương. Toàn bộ trích trên Thành phẩm.</t>
  </si>
  <si>
    <t>HÀNG TỒN KHO THUẦN</t>
  </si>
  <si>
    <t>Khớp MS 140 trên BCĐKT</t>
  </si>
  <si>
    <t>MS 141 - tổng các loại tồn kho</t>
  </si>
  <si>
    <t>MS 140 - (MS 141 - MS 159)</t>
  </si>
  <si>
    <t>Dự phòng cuối năm - (đầu năm + trích lập - hoàn nhập)</t>
  </si>
  <si>
    <t>Đối chiếu MS 141 với sheet A</t>
  </si>
  <si>
    <t>D. BÁO CÁO KẾT QUẢ HOẠT ĐỘNG KINH DOANH (HỢP NHẤT)</t>
  </si>
  <si>
    <t>Số phát sinh cả năm | Nguồn: BCTC hợp nhất kiểm toán 2024 &amp; 2025, mẫu B02-DN/HN</t>
  </si>
  <si>
    <t>01</t>
  </si>
  <si>
    <t>1. Doanh thu bán hàng và cung cấp dịch vụ</t>
  </si>
  <si>
    <t>02</t>
  </si>
  <si>
    <t>2. Các khoản giảm trừ doanh thu</t>
  </si>
  <si>
    <t>10</t>
  </si>
  <si>
    <t>3. Doanh thu thuần về bán hàng và CCDV</t>
  </si>
  <si>
    <t>REVENUE — dùng cho DSO</t>
  </si>
  <si>
    <t>11</t>
  </si>
  <si>
    <t>4. Giá vốn hàng bán và dịch vụ cung cấp</t>
  </si>
  <si>
    <t>COGS — nhập số dương. Dùng cho DIO, DPO</t>
  </si>
  <si>
    <t>20</t>
  </si>
  <si>
    <t>5. Lợi nhuận gộp</t>
  </si>
  <si>
    <t>21</t>
  </si>
  <si>
    <t>6. Doanh thu hoạt động tài chính</t>
  </si>
  <si>
    <t>22</t>
  </si>
  <si>
    <t>7. Chi phí tài chính</t>
  </si>
  <si>
    <t>Nhập số dương</t>
  </si>
  <si>
    <t>23</t>
  </si>
  <si>
    <t>- Trong đó: Chi phí lãi vay</t>
  </si>
  <si>
    <t>Interest coverage</t>
  </si>
  <si>
    <t>24</t>
  </si>
  <si>
    <t>8. Phần lỗ trong công ty liên kết</t>
  </si>
  <si>
    <t>Là khoản LỖ — nhập số dương</t>
  </si>
  <si>
    <t>25</t>
  </si>
  <si>
    <t>9. Chi phí bán hàng</t>
  </si>
  <si>
    <t>26</t>
  </si>
  <si>
    <t>10. Chi phí quản lý doanh nghiệp</t>
  </si>
  <si>
    <t>30</t>
  </si>
  <si>
    <t>11. Lợi nhuận thuần từ hoạt động kinh doanh</t>
  </si>
  <si>
    <t>OPERATING PROFIT</t>
  </si>
  <si>
    <t>31</t>
  </si>
  <si>
    <t>12. Thu nhập khác</t>
  </si>
  <si>
    <t>32</t>
  </si>
  <si>
    <t>13. Chi phí khác</t>
  </si>
  <si>
    <t>40</t>
  </si>
  <si>
    <t>14. Lợi nhuận/(lỗ) khác</t>
  </si>
  <si>
    <t>FY2024 ÂM THẬT — giữ dấu âm</t>
  </si>
  <si>
    <t>50</t>
  </si>
  <si>
    <t>15. Tổng lợi nhuận kế toán trước thuế</t>
  </si>
  <si>
    <t>EBT</t>
  </si>
  <si>
    <t>51</t>
  </si>
  <si>
    <t>16. Chi phí thuế TNDN hiện hành</t>
  </si>
  <si>
    <t>52</t>
  </si>
  <si>
    <t>17. Thu nhập/(chi phí) thuế TNDN hoãn lại</t>
  </si>
  <si>
    <t>FY2023 là CHI PHÍ — giữ dấu âm</t>
  </si>
  <si>
    <t>60</t>
  </si>
  <si>
    <t>18. Lợi nhuận sau thuế TNDN</t>
  </si>
  <si>
    <t>61</t>
  </si>
  <si>
    <t>19. Lợi nhuận sau thuế của công ty mẹ</t>
  </si>
  <si>
    <t>Dùng cho ROE</t>
  </si>
  <si>
    <t>62</t>
  </si>
  <si>
    <t>20. Lợi nhuận của cổ đông không kiểm soát</t>
  </si>
  <si>
    <t>MS 10 - (MS 01 - MS 02)</t>
  </si>
  <si>
    <t>MS 20 - (MS 10 - MS 11)</t>
  </si>
  <si>
    <t>MS 30 - (20 + 21 - 22 - 24 - 25 - 26)</t>
  </si>
  <si>
    <t>MS 40 - (MS 31 - MS 32)</t>
  </si>
  <si>
    <t>MS 50 - (MS 30 + MS 40)</t>
  </si>
  <si>
    <t>MS 60 - (50 - 51 + 52)</t>
  </si>
  <si>
    <t>MS 60 - (MS 61 + MS 62)</t>
  </si>
  <si>
    <t>E. SỐ LIỆU BỔ SUNG</t>
  </si>
  <si>
    <t>Trích từ Báo cáo lưu chuyển tiền tệ hợp nhất (B03-DN/HN) và thuyết minh</t>
  </si>
  <si>
    <t>TỪ BÁO CÁO LƯU CHUYỂN TIỀN TỆ (phương pháp gián tiếp)</t>
  </si>
  <si>
    <t>Khấu hao TSCĐ hữu hình, thuê tài chính, hao mòn TSCĐ vô hình và phân bổ tiền thuê đất trả trước</t>
  </si>
  <si>
    <t>D&amp;A — dùng cho EBITDA. FY2023 còn gồm phân bổ lợi thế thương mại.</t>
  </si>
  <si>
    <t>06</t>
  </si>
  <si>
    <t>Chi phí lãi vay (điều chỉnh trong LCTT)</t>
  </si>
  <si>
    <t>Khác nhẹ so với MS 23 do cơ sở dồn tích</t>
  </si>
  <si>
    <t>Tiền chi mua sắm, xây dựng TSCĐ và tài sản dài hạn khác</t>
  </si>
  <si>
    <t>CAPEX — nhập số dương</t>
  </si>
  <si>
    <t>Lưu chuyển tiền thuần từ hoạt động kinh doanh</t>
  </si>
  <si>
    <t>CFO</t>
  </si>
  <si>
    <t>Lưu chuyển tiền thuần từ/(sử dụng vào) hoạt động đầu tư</t>
  </si>
  <si>
    <t>CFI — giữ dấu âm khi là dòng ra</t>
  </si>
  <si>
    <t>CHỈ TIÊU TÍNH SẴN (công thức)</t>
  </si>
  <si>
    <t>EBITDA = Operating Profit + D&amp;A</t>
  </si>
  <si>
    <t>Operating profit (MS 30) cộng khấu hao</t>
  </si>
  <si>
    <t>Tổng nợ vay = MS 320 + MS 338</t>
  </si>
  <si>
    <t>Total interest-bearing debt</t>
  </si>
  <si>
    <t>Tồn kho phục vụ DIO 3 tầng = NVL + WIP + FG</t>
  </si>
  <si>
    <t>Loại trừ hàng đi đường, CCDC, hàng hóa</t>
  </si>
  <si>
    <t>Operating NWC = AR + Tồn kho thuần - AP</t>
  </si>
  <si>
    <t>Vốn lưu động hoạt động</t>
  </si>
  <si>
    <t>GIẢM TRỪ — +E38+F38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</si>
</sst>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17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3"/>
      <color rgb="FF1F3864"/>
      <name val="Arial"/>
      <charset val="1"/>
    </font>
    <font>
      <i/>
      <sz val="9"/>
      <color rgb="FF595959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i/>
      <sz val="9"/>
      <color rgb="FF7F7F7F"/>
      <name val="Arial"/>
      <charset val="1"/>
    </font>
    <font>
      <sz val="10"/>
      <color rgb="FF0000FF"/>
      <name val="Arial"/>
      <charset val="1"/>
    </font>
    <font>
      <i/>
      <sz val="10"/>
      <name val="Arial"/>
      <charset val="1"/>
    </font>
    <font>
      <b/>
      <sz val="10"/>
      <color rgb="FFC00000"/>
      <name val="Arial"/>
      <charset val="1"/>
    </font>
    <font>
      <sz val="9"/>
      <color rgb="FF000000"/>
      <name val="Arial"/>
      <charset val="1"/>
    </font>
    <font>
      <sz val="10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1F3864"/>
        <bgColor rgb="FF3333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404040"/>
      </top>
      <bottom style="medium">
        <color rgb="FF40404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9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164" fontId="10" fillId="2" borderId="2" xfId="0" applyNumberFormat="1" applyFont="1" applyFill="1" applyBorder="1" applyAlignment="1">
      <alignment horizontal="right"/>
    </xf>
    <xf numFmtId="0" fontId="11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indent="2"/>
    </xf>
    <xf numFmtId="164" fontId="12" fillId="0" borderId="2" xfId="0" applyNumberFormat="1" applyFont="1" applyBorder="1" applyAlignment="1">
      <alignment horizontal="right"/>
    </xf>
    <xf numFmtId="0" fontId="11" fillId="0" borderId="2" xfId="0" applyFont="1" applyBorder="1" applyAlignment="1">
      <alignment vertical="center" wrapText="1"/>
    </xf>
    <xf numFmtId="0" fontId="13" fillId="0" borderId="2" xfId="0" applyFont="1" applyBorder="1" applyAlignment="1">
      <alignment indent="4"/>
    </xf>
    <xf numFmtId="0" fontId="14" fillId="0" borderId="0" xfId="0" applyFont="1"/>
    <xf numFmtId="0" fontId="8" fillId="0" borderId="0" xfId="0" applyFont="1"/>
    <xf numFmtId="164" fontId="15" fillId="0" borderId="0" xfId="0" applyNumberFormat="1" applyFont="1"/>
    <xf numFmtId="0" fontId="11" fillId="0" borderId="0" xfId="0" applyFont="1"/>
    <xf numFmtId="0" fontId="0" fillId="0" borderId="2" xfId="0" applyBorder="1"/>
    <xf numFmtId="164" fontId="16" fillId="0" borderId="2" xfId="0" applyNumberFormat="1" applyFont="1" applyBorder="1" applyAlignment="1">
      <alignment horizontal="right"/>
    </xf>
    <xf numFmtId="0" fontId="1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7"/>
  <sheetViews>
    <sheetView showGridLines="0" topLeftCell="A18" zoomScaleNormal="100" workbookViewId="0">
      <selection activeCell="C32" sqref="C32"/>
    </sheetView>
  </sheetViews>
  <sheetFormatPr defaultColWidth="8.6640625" defaultRowHeight="14.25" x14ac:dyDescent="0.45"/>
  <cols>
    <col min="1" max="1" width="3" customWidth="1"/>
    <col min="2" max="2" width="28" customWidth="1"/>
    <col min="3" max="3" width="105" customWidth="1"/>
  </cols>
  <sheetData>
    <row r="2" spans="2:3" ht="17.649999999999999" x14ac:dyDescent="0.5">
      <c r="B2" s="1" t="s">
        <v>0</v>
      </c>
    </row>
    <row r="3" spans="2:3" x14ac:dyDescent="0.45">
      <c r="B3" s="2" t="s">
        <v>1</v>
      </c>
    </row>
    <row r="6" spans="2:3" x14ac:dyDescent="0.45">
      <c r="B6" s="3" t="s">
        <v>2</v>
      </c>
      <c r="C6" s="4"/>
    </row>
    <row r="7" spans="2:3" ht="25.5" customHeight="1" x14ac:dyDescent="0.45">
      <c r="B7" s="5" t="s">
        <v>3</v>
      </c>
      <c r="C7" s="6" t="s">
        <v>4</v>
      </c>
    </row>
    <row r="8" spans="2:3" ht="25.5" customHeight="1" x14ac:dyDescent="0.45">
      <c r="B8" s="5" t="s">
        <v>5</v>
      </c>
      <c r="C8" s="6" t="s">
        <v>6</v>
      </c>
    </row>
    <row r="9" spans="2:3" ht="15" customHeight="1" x14ac:dyDescent="0.45">
      <c r="B9" s="5" t="s">
        <v>7</v>
      </c>
      <c r="C9" s="6" t="s">
        <v>8</v>
      </c>
    </row>
    <row r="11" spans="2:3" x14ac:dyDescent="0.45">
      <c r="B11" s="3" t="s">
        <v>9</v>
      </c>
      <c r="C11" s="4"/>
    </row>
    <row r="12" spans="2:3" ht="25.5" customHeight="1" x14ac:dyDescent="0.45">
      <c r="B12" s="5" t="s">
        <v>10</v>
      </c>
      <c r="C12" s="6" t="s">
        <v>11</v>
      </c>
    </row>
    <row r="13" spans="2:3" ht="15" customHeight="1" x14ac:dyDescent="0.45">
      <c r="B13" s="5" t="s">
        <v>12</v>
      </c>
      <c r="C13" s="6" t="s">
        <v>13</v>
      </c>
    </row>
    <row r="14" spans="2:3" ht="15" customHeight="1" x14ac:dyDescent="0.45">
      <c r="B14" s="5" t="s">
        <v>14</v>
      </c>
      <c r="C14" s="6" t="s">
        <v>15</v>
      </c>
    </row>
    <row r="16" spans="2:3" x14ac:dyDescent="0.45">
      <c r="B16" s="3" t="s">
        <v>16</v>
      </c>
      <c r="C16" s="4"/>
    </row>
    <row r="17" spans="2:3" ht="25.5" customHeight="1" x14ac:dyDescent="0.45">
      <c r="B17" s="5" t="s">
        <v>17</v>
      </c>
      <c r="C17" s="6" t="s">
        <v>18</v>
      </c>
    </row>
    <row r="18" spans="2:3" ht="15" customHeight="1" x14ac:dyDescent="0.45">
      <c r="B18" s="5" t="s">
        <v>19</v>
      </c>
      <c r="C18" s="6" t="s">
        <v>20</v>
      </c>
    </row>
    <row r="19" spans="2:3" ht="25.5" customHeight="1" x14ac:dyDescent="0.45">
      <c r="B19" s="5" t="s">
        <v>21</v>
      </c>
      <c r="C19" s="6" t="s">
        <v>22</v>
      </c>
    </row>
    <row r="20" spans="2:3" ht="25.5" customHeight="1" x14ac:dyDescent="0.45">
      <c r="B20" s="5" t="s">
        <v>23</v>
      </c>
      <c r="C20" s="6" t="s">
        <v>24</v>
      </c>
    </row>
    <row r="21" spans="2:3" ht="15" customHeight="1" x14ac:dyDescent="0.45">
      <c r="B21" s="5" t="s">
        <v>25</v>
      </c>
      <c r="C21" s="6" t="s">
        <v>26</v>
      </c>
    </row>
    <row r="23" spans="2:3" x14ac:dyDescent="0.45">
      <c r="B23" s="3" t="s">
        <v>27</v>
      </c>
      <c r="C23" s="4"/>
    </row>
    <row r="24" spans="2:3" ht="25.5" customHeight="1" x14ac:dyDescent="0.45">
      <c r="B24" s="5" t="s">
        <v>28</v>
      </c>
      <c r="C24" s="6" t="s">
        <v>29</v>
      </c>
    </row>
    <row r="25" spans="2:3" ht="39" customHeight="1" x14ac:dyDescent="0.45">
      <c r="B25" s="5" t="s">
        <v>30</v>
      </c>
      <c r="C25" s="6" t="s">
        <v>31</v>
      </c>
    </row>
    <row r="27" spans="2:3" x14ac:dyDescent="0.45">
      <c r="B27" s="3" t="s">
        <v>32</v>
      </c>
      <c r="C27" s="4"/>
    </row>
    <row r="28" spans="2:3" ht="25.5" customHeight="1" x14ac:dyDescent="0.45">
      <c r="B28" s="5" t="s">
        <v>33</v>
      </c>
      <c r="C28" s="6" t="s">
        <v>34</v>
      </c>
    </row>
    <row r="29" spans="2:3" ht="15" customHeight="1" x14ac:dyDescent="0.45">
      <c r="B29" s="5" t="s">
        <v>35</v>
      </c>
      <c r="C29" s="6" t="s">
        <v>36</v>
      </c>
    </row>
    <row r="30" spans="2:3" ht="15" customHeight="1" x14ac:dyDescent="0.45">
      <c r="B30" s="5" t="s">
        <v>37</v>
      </c>
      <c r="C30" s="6" t="s">
        <v>38</v>
      </c>
    </row>
    <row r="31" spans="2:3" ht="25.5" customHeight="1" x14ac:dyDescent="0.45">
      <c r="B31" s="5" t="s">
        <v>39</v>
      </c>
      <c r="C31" s="6" t="s">
        <v>40</v>
      </c>
    </row>
    <row r="32" spans="2:3" ht="15" customHeight="1" x14ac:dyDescent="0.45">
      <c r="B32" s="5" t="s">
        <v>41</v>
      </c>
      <c r="C32" s="6" t="s">
        <v>42</v>
      </c>
    </row>
    <row r="34" spans="2:3" x14ac:dyDescent="0.45">
      <c r="B34" s="3" t="s">
        <v>43</v>
      </c>
      <c r="C34" s="4"/>
    </row>
    <row r="35" spans="2:3" ht="25.5" customHeight="1" x14ac:dyDescent="0.45">
      <c r="B35" s="5" t="s">
        <v>44</v>
      </c>
      <c r="C35" s="6" t="s">
        <v>45</v>
      </c>
    </row>
    <row r="36" spans="2:3" ht="15" customHeight="1" x14ac:dyDescent="0.45">
      <c r="B36" s="5" t="s">
        <v>46</v>
      </c>
      <c r="C36" s="6" t="s">
        <v>47</v>
      </c>
    </row>
    <row r="37" spans="2:3" ht="15" customHeight="1" x14ac:dyDescent="0.45">
      <c r="B37" s="5" t="s">
        <v>48</v>
      </c>
      <c r="C37" s="6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showGridLines="0" zoomScaleNormal="100" workbookViewId="0">
      <pane xSplit="2" ySplit="5" topLeftCell="E6" activePane="bottomRight" state="frozen"/>
      <selection pane="topRight" activeCell="C1" sqref="C1"/>
      <selection pane="bottomLeft" activeCell="A6" sqref="A6"/>
      <selection pane="bottomRight" activeCell="B19" sqref="B19"/>
    </sheetView>
  </sheetViews>
  <sheetFormatPr defaultColWidth="8.6640625" defaultRowHeight="14.25" x14ac:dyDescent="0.45"/>
  <cols>
    <col min="1" max="1" width="8" customWidth="1"/>
    <col min="2" max="2" width="46" customWidth="1"/>
    <col min="3" max="5" width="22" customWidth="1"/>
    <col min="6" max="6" width="34" customWidth="1"/>
  </cols>
  <sheetData>
    <row r="1" spans="1:6" ht="16.899999999999999" x14ac:dyDescent="0.5">
      <c r="A1" s="7" t="s">
        <v>50</v>
      </c>
    </row>
    <row r="2" spans="1:6" x14ac:dyDescent="0.45">
      <c r="A2" s="8" t="s">
        <v>51</v>
      </c>
    </row>
    <row r="3" spans="1:6" x14ac:dyDescent="0.45">
      <c r="F3" s="9" t="s">
        <v>52</v>
      </c>
    </row>
    <row r="5" spans="1:6" ht="30" customHeight="1" x14ac:dyDescent="0.45">
      <c r="A5" s="10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</row>
    <row r="6" spans="1:6" x14ac:dyDescent="0.45">
      <c r="A6" s="11">
        <v>100</v>
      </c>
      <c r="B6" s="12" t="s">
        <v>59</v>
      </c>
      <c r="C6" s="13">
        <v>833749782499</v>
      </c>
      <c r="D6" s="13">
        <v>835183275843</v>
      </c>
      <c r="E6" s="13">
        <v>1108594044712</v>
      </c>
      <c r="F6" s="14"/>
    </row>
    <row r="7" spans="1:6" x14ac:dyDescent="0.45">
      <c r="A7" s="15">
        <v>110</v>
      </c>
      <c r="B7" s="16" t="s">
        <v>60</v>
      </c>
      <c r="C7" s="17">
        <v>68340657663</v>
      </c>
      <c r="D7" s="17">
        <v>191950270642</v>
      </c>
      <c r="E7" s="17">
        <v>346419887547</v>
      </c>
      <c r="F7" s="18"/>
    </row>
    <row r="8" spans="1:6" x14ac:dyDescent="0.45">
      <c r="A8" s="15">
        <v>111</v>
      </c>
      <c r="B8" s="19" t="s">
        <v>61</v>
      </c>
      <c r="C8" s="17">
        <v>50790657663</v>
      </c>
      <c r="D8" s="17">
        <v>141391023267</v>
      </c>
      <c r="E8" s="17">
        <v>70123117547</v>
      </c>
      <c r="F8" s="18"/>
    </row>
    <row r="9" spans="1:6" x14ac:dyDescent="0.45">
      <c r="A9" s="15">
        <v>112</v>
      </c>
      <c r="B9" s="19" t="s">
        <v>62</v>
      </c>
      <c r="C9" s="17">
        <v>17550000000</v>
      </c>
      <c r="D9" s="17">
        <v>50559247375</v>
      </c>
      <c r="E9" s="17">
        <v>276296770000</v>
      </c>
      <c r="F9" s="18"/>
    </row>
    <row r="10" spans="1:6" x14ac:dyDescent="0.45">
      <c r="A10" s="15">
        <v>120</v>
      </c>
      <c r="B10" s="16" t="s">
        <v>63</v>
      </c>
      <c r="C10" s="17">
        <v>200192000000</v>
      </c>
      <c r="D10" s="17">
        <v>760062000</v>
      </c>
      <c r="E10" s="17">
        <v>119400000000</v>
      </c>
      <c r="F10" s="18"/>
    </row>
    <row r="11" spans="1:6" x14ac:dyDescent="0.45">
      <c r="A11" s="15">
        <v>123</v>
      </c>
      <c r="B11" s="19" t="s">
        <v>64</v>
      </c>
      <c r="C11" s="17">
        <v>200192000000</v>
      </c>
      <c r="D11" s="17">
        <v>760062000</v>
      </c>
      <c r="E11" s="17">
        <v>119400000000</v>
      </c>
      <c r="F11" s="18" t="s">
        <v>65</v>
      </c>
    </row>
    <row r="12" spans="1:6" x14ac:dyDescent="0.45">
      <c r="A12" s="15">
        <v>130</v>
      </c>
      <c r="B12" s="16" t="s">
        <v>66</v>
      </c>
      <c r="C12" s="17">
        <v>294940405706</v>
      </c>
      <c r="D12" s="17">
        <v>378616624372</v>
      </c>
      <c r="E12" s="17">
        <v>336704878047</v>
      </c>
      <c r="F12" s="18"/>
    </row>
    <row r="13" spans="1:6" x14ac:dyDescent="0.45">
      <c r="A13" s="15">
        <v>131</v>
      </c>
      <c r="B13" s="19" t="s">
        <v>67</v>
      </c>
      <c r="C13" s="17">
        <v>225698917511</v>
      </c>
      <c r="D13" s="17">
        <v>298853660085</v>
      </c>
      <c r="E13" s="17">
        <v>281041557777</v>
      </c>
      <c r="F13" s="18" t="s">
        <v>68</v>
      </c>
    </row>
    <row r="14" spans="1:6" x14ac:dyDescent="0.45">
      <c r="A14" s="15">
        <v>132</v>
      </c>
      <c r="B14" s="19" t="s">
        <v>69</v>
      </c>
      <c r="C14" s="17">
        <v>32932283075</v>
      </c>
      <c r="D14" s="17">
        <v>25921034452</v>
      </c>
      <c r="E14" s="17">
        <v>37330026835</v>
      </c>
      <c r="F14" s="18"/>
    </row>
    <row r="15" spans="1:6" x14ac:dyDescent="0.45">
      <c r="A15" s="15">
        <v>135</v>
      </c>
      <c r="B15" s="19" t="s">
        <v>70</v>
      </c>
      <c r="C15" s="17">
        <v>7000000000</v>
      </c>
      <c r="D15" s="17">
        <v>50000000000</v>
      </c>
      <c r="E15" s="17">
        <v>0</v>
      </c>
      <c r="F15" s="18"/>
    </row>
    <row r="16" spans="1:6" x14ac:dyDescent="0.45">
      <c r="A16" s="15">
        <v>136</v>
      </c>
      <c r="B16" s="19" t="s">
        <v>71</v>
      </c>
      <c r="C16" s="17">
        <v>30912057096</v>
      </c>
      <c r="D16" s="17">
        <v>7480648816</v>
      </c>
      <c r="E16" s="17">
        <v>21972012416</v>
      </c>
      <c r="F16" s="18"/>
    </row>
    <row r="17" spans="1:6" x14ac:dyDescent="0.45">
      <c r="A17" s="15">
        <v>137</v>
      </c>
      <c r="B17" s="19" t="s">
        <v>72</v>
      </c>
      <c r="C17" s="17">
        <v>1602851976</v>
      </c>
      <c r="D17" s="17">
        <v>3638718981</v>
      </c>
      <c r="E17" s="17">
        <v>3638718981</v>
      </c>
      <c r="F17" s="18" t="s">
        <v>73</v>
      </c>
    </row>
    <row r="18" spans="1:6" x14ac:dyDescent="0.45">
      <c r="A18" s="15">
        <v>140</v>
      </c>
      <c r="B18" s="16" t="s">
        <v>74</v>
      </c>
      <c r="C18" s="17">
        <v>230582555144</v>
      </c>
      <c r="D18" s="17">
        <v>218749159456</v>
      </c>
      <c r="E18" s="17">
        <v>239364939489</v>
      </c>
      <c r="F18" s="18"/>
    </row>
    <row r="19" spans="1:6" x14ac:dyDescent="0.45">
      <c r="A19" s="15">
        <v>141</v>
      </c>
      <c r="B19" s="19" t="s">
        <v>75</v>
      </c>
      <c r="C19" s="17">
        <v>233247299856</v>
      </c>
      <c r="D19" s="17">
        <v>220292525225</v>
      </c>
      <c r="E19" s="17">
        <v>241513423295</v>
      </c>
      <c r="F19" s="18" t="s">
        <v>76</v>
      </c>
    </row>
    <row r="20" spans="1:6" x14ac:dyDescent="0.45">
      <c r="A20" s="15">
        <v>149</v>
      </c>
      <c r="B20" s="19" t="s">
        <v>77</v>
      </c>
      <c r="C20" s="17">
        <v>2664744712</v>
      </c>
      <c r="D20" s="17">
        <v>1543365769</v>
      </c>
      <c r="E20" s="17">
        <v>2148483806</v>
      </c>
      <c r="F20" s="18" t="s">
        <v>73</v>
      </c>
    </row>
    <row r="21" spans="1:6" x14ac:dyDescent="0.45">
      <c r="A21" s="15">
        <v>150</v>
      </c>
      <c r="B21" s="16" t="s">
        <v>78</v>
      </c>
      <c r="C21" s="17">
        <v>39694163986</v>
      </c>
      <c r="D21" s="17">
        <v>45107159373</v>
      </c>
      <c r="E21" s="17">
        <v>66704339629</v>
      </c>
      <c r="F21" s="18"/>
    </row>
    <row r="22" spans="1:6" x14ac:dyDescent="0.45">
      <c r="A22" s="15">
        <v>151</v>
      </c>
      <c r="B22" s="19" t="s">
        <v>79</v>
      </c>
      <c r="C22" s="17">
        <v>16202600873</v>
      </c>
      <c r="D22" s="17">
        <v>14762286426</v>
      </c>
      <c r="E22" s="17">
        <v>13471731749</v>
      </c>
      <c r="F22" s="18"/>
    </row>
    <row r="23" spans="1:6" x14ac:dyDescent="0.45">
      <c r="A23" s="15">
        <v>152</v>
      </c>
      <c r="B23" s="19" t="s">
        <v>80</v>
      </c>
      <c r="C23" s="17">
        <v>23475981971</v>
      </c>
      <c r="D23" s="17">
        <v>30344872947</v>
      </c>
      <c r="E23" s="17">
        <v>53187540462</v>
      </c>
      <c r="F23" s="18"/>
    </row>
    <row r="24" spans="1:6" x14ac:dyDescent="0.45">
      <c r="A24" s="15">
        <v>153</v>
      </c>
      <c r="B24" s="19" t="s">
        <v>81</v>
      </c>
      <c r="C24" s="17">
        <v>15581142</v>
      </c>
      <c r="D24" s="17">
        <v>0</v>
      </c>
      <c r="E24" s="17">
        <v>45067418</v>
      </c>
      <c r="F24" s="18"/>
    </row>
    <row r="26" spans="1:6" x14ac:dyDescent="0.45">
      <c r="A26" s="11">
        <v>200</v>
      </c>
      <c r="B26" s="12" t="s">
        <v>82</v>
      </c>
      <c r="C26" s="13">
        <v>1242880047090</v>
      </c>
      <c r="D26" s="13">
        <v>1095047863503</v>
      </c>
      <c r="E26" s="13">
        <v>1420606215750</v>
      </c>
      <c r="F26" s="14"/>
    </row>
    <row r="27" spans="1:6" x14ac:dyDescent="0.45">
      <c r="A27" s="15">
        <v>210</v>
      </c>
      <c r="B27" s="16" t="s">
        <v>83</v>
      </c>
      <c r="C27" s="17">
        <v>5357993671</v>
      </c>
      <c r="D27" s="17">
        <v>5087567309</v>
      </c>
      <c r="E27" s="17">
        <v>3610950390</v>
      </c>
      <c r="F27" s="18"/>
    </row>
    <row r="28" spans="1:6" x14ac:dyDescent="0.45">
      <c r="A28" s="15">
        <v>216</v>
      </c>
      <c r="B28" s="19" t="s">
        <v>84</v>
      </c>
      <c r="C28" s="17">
        <v>5357993671</v>
      </c>
      <c r="D28" s="17">
        <v>5087567309</v>
      </c>
      <c r="E28" s="17">
        <v>3610950390</v>
      </c>
      <c r="F28" s="18"/>
    </row>
    <row r="29" spans="1:6" x14ac:dyDescent="0.45">
      <c r="A29" s="15">
        <v>220</v>
      </c>
      <c r="B29" s="16" t="s">
        <v>85</v>
      </c>
      <c r="C29" s="17">
        <v>798732153906</v>
      </c>
      <c r="D29" s="17">
        <v>828896685347</v>
      </c>
      <c r="E29" s="17">
        <v>890389773268</v>
      </c>
      <c r="F29" s="18"/>
    </row>
    <row r="30" spans="1:6" x14ac:dyDescent="0.45">
      <c r="A30" s="15">
        <v>221</v>
      </c>
      <c r="B30" s="19" t="s">
        <v>86</v>
      </c>
      <c r="C30" s="17">
        <v>723455269424</v>
      </c>
      <c r="D30" s="17">
        <v>764654249637</v>
      </c>
      <c r="E30" s="17">
        <v>852498214275</v>
      </c>
      <c r="F30" s="18"/>
    </row>
    <row r="31" spans="1:6" x14ac:dyDescent="0.45">
      <c r="A31" s="15">
        <v>222</v>
      </c>
      <c r="B31" s="19" t="s">
        <v>87</v>
      </c>
      <c r="C31" s="17">
        <v>1508242011291</v>
      </c>
      <c r="D31" s="17">
        <v>1638307185351</v>
      </c>
      <c r="E31" s="17">
        <v>1817746990805</v>
      </c>
      <c r="F31" s="18"/>
    </row>
    <row r="32" spans="1:6" x14ac:dyDescent="0.45">
      <c r="A32" s="15">
        <v>223</v>
      </c>
      <c r="B32" s="19" t="s">
        <v>88</v>
      </c>
      <c r="C32" s="17">
        <v>784786741867</v>
      </c>
      <c r="D32" s="17">
        <v>873652935714</v>
      </c>
      <c r="E32" s="17">
        <v>965248776530</v>
      </c>
      <c r="F32" s="18" t="s">
        <v>73</v>
      </c>
    </row>
    <row r="33" spans="1:6" x14ac:dyDescent="0.45">
      <c r="A33" s="15">
        <v>224</v>
      </c>
      <c r="B33" s="19" t="s">
        <v>89</v>
      </c>
      <c r="C33" s="17">
        <v>68631827666</v>
      </c>
      <c r="D33" s="17">
        <v>56808705545</v>
      </c>
      <c r="E33" s="17">
        <v>32667562866</v>
      </c>
      <c r="F33" s="18"/>
    </row>
    <row r="34" spans="1:6" x14ac:dyDescent="0.45">
      <c r="A34" s="15">
        <v>225</v>
      </c>
      <c r="B34" s="19" t="s">
        <v>87</v>
      </c>
      <c r="C34" s="17">
        <v>80861261462</v>
      </c>
      <c r="D34" s="17">
        <v>69632760488</v>
      </c>
      <c r="E34" s="17">
        <v>40976150806</v>
      </c>
      <c r="F34" s="18"/>
    </row>
    <row r="35" spans="1:6" x14ac:dyDescent="0.45">
      <c r="A35" s="15">
        <v>226</v>
      </c>
      <c r="B35" s="19" t="s">
        <v>88</v>
      </c>
      <c r="C35" s="17">
        <v>12229433796</v>
      </c>
      <c r="D35" s="17">
        <v>12824054943</v>
      </c>
      <c r="E35" s="17">
        <v>8308587940</v>
      </c>
      <c r="F35" s="18" t="s">
        <v>73</v>
      </c>
    </row>
    <row r="36" spans="1:6" x14ac:dyDescent="0.45">
      <c r="A36" s="15">
        <v>227</v>
      </c>
      <c r="B36" s="19" t="s">
        <v>90</v>
      </c>
      <c r="C36" s="17">
        <v>6645056816</v>
      </c>
      <c r="D36" s="17">
        <v>7433730165</v>
      </c>
      <c r="E36" s="17">
        <v>5223996127</v>
      </c>
      <c r="F36" s="18"/>
    </row>
    <row r="37" spans="1:6" x14ac:dyDescent="0.45">
      <c r="A37" s="15">
        <v>228</v>
      </c>
      <c r="B37" s="19" t="s">
        <v>87</v>
      </c>
      <c r="C37" s="17">
        <v>16211789411</v>
      </c>
      <c r="D37" s="17">
        <v>17164966365</v>
      </c>
      <c r="E37" s="17">
        <v>17649966365</v>
      </c>
      <c r="F37" s="18"/>
    </row>
    <row r="38" spans="1:6" x14ac:dyDescent="0.45">
      <c r="A38" s="15">
        <v>229</v>
      </c>
      <c r="B38" s="19" t="s">
        <v>88</v>
      </c>
      <c r="C38" s="17">
        <v>9566732595</v>
      </c>
      <c r="D38" s="17">
        <v>9731236200</v>
      </c>
      <c r="E38" s="17">
        <v>12425970238</v>
      </c>
      <c r="F38" s="18" t="s">
        <v>261</v>
      </c>
    </row>
    <row r="39" spans="1:6" x14ac:dyDescent="0.45">
      <c r="A39" s="15">
        <v>240</v>
      </c>
      <c r="B39" s="16" t="s">
        <v>91</v>
      </c>
      <c r="C39" s="17">
        <v>1908654472</v>
      </c>
      <c r="D39" s="17">
        <v>1533607401</v>
      </c>
      <c r="E39" s="17">
        <v>281066772524</v>
      </c>
      <c r="F39" s="18"/>
    </row>
    <row r="40" spans="1:6" x14ac:dyDescent="0.45">
      <c r="A40" s="15">
        <v>242</v>
      </c>
      <c r="B40" s="19" t="s">
        <v>92</v>
      </c>
      <c r="C40" s="17">
        <v>1908654472</v>
      </c>
      <c r="D40" s="17">
        <v>1533607401</v>
      </c>
      <c r="E40" s="17">
        <v>281066772524</v>
      </c>
      <c r="F40" s="18" t="s">
        <v>93</v>
      </c>
    </row>
    <row r="41" spans="1:6" x14ac:dyDescent="0.45">
      <c r="A41" s="15">
        <v>250</v>
      </c>
      <c r="B41" s="16" t="s">
        <v>94</v>
      </c>
      <c r="C41" s="17">
        <v>299132386348</v>
      </c>
      <c r="D41" s="17">
        <v>117453931611</v>
      </c>
      <c r="E41" s="17">
        <v>58184439385</v>
      </c>
      <c r="F41" s="18"/>
    </row>
    <row r="42" spans="1:6" x14ac:dyDescent="0.45">
      <c r="A42" s="15">
        <v>252</v>
      </c>
      <c r="B42" s="19" t="s">
        <v>95</v>
      </c>
      <c r="C42" s="17">
        <v>182778073609</v>
      </c>
      <c r="D42" s="17">
        <v>117453931611</v>
      </c>
      <c r="E42" s="17">
        <v>58184439385</v>
      </c>
      <c r="F42" s="18" t="s">
        <v>96</v>
      </c>
    </row>
    <row r="43" spans="1:6" x14ac:dyDescent="0.45">
      <c r="A43" s="15">
        <v>255</v>
      </c>
      <c r="B43" s="19" t="s">
        <v>97</v>
      </c>
      <c r="C43" s="17">
        <v>116354312739</v>
      </c>
      <c r="D43" s="17">
        <v>0</v>
      </c>
      <c r="E43" s="17">
        <v>0</v>
      </c>
      <c r="F43" s="18" t="s">
        <v>98</v>
      </c>
    </row>
    <row r="44" spans="1:6" x14ac:dyDescent="0.45">
      <c r="A44" s="15">
        <v>260</v>
      </c>
      <c r="B44" s="16" t="s">
        <v>99</v>
      </c>
      <c r="C44" s="17">
        <v>137748858693</v>
      </c>
      <c r="D44" s="17">
        <v>142076071835</v>
      </c>
      <c r="E44" s="17">
        <v>187354280183</v>
      </c>
      <c r="F44" s="18"/>
    </row>
    <row r="45" spans="1:6" x14ac:dyDescent="0.45">
      <c r="A45" s="15">
        <v>261</v>
      </c>
      <c r="B45" s="19" t="s">
        <v>100</v>
      </c>
      <c r="C45" s="17">
        <v>137478250500</v>
      </c>
      <c r="D45" s="17">
        <v>141534175332</v>
      </c>
      <c r="E45" s="17">
        <v>186569107433</v>
      </c>
      <c r="F45" s="18"/>
    </row>
    <row r="46" spans="1:6" x14ac:dyDescent="0.45">
      <c r="A46" s="15">
        <v>262</v>
      </c>
      <c r="B46" s="19" t="s">
        <v>101</v>
      </c>
      <c r="C46" s="17">
        <v>74800987</v>
      </c>
      <c r="D46" s="17">
        <v>541896503</v>
      </c>
      <c r="E46" s="17">
        <v>785172750</v>
      </c>
      <c r="F46" s="18"/>
    </row>
    <row r="47" spans="1:6" x14ac:dyDescent="0.45">
      <c r="A47" s="15">
        <v>269</v>
      </c>
      <c r="B47" s="19" t="s">
        <v>102</v>
      </c>
      <c r="C47" s="17">
        <v>195807206</v>
      </c>
      <c r="D47" s="17">
        <v>0</v>
      </c>
      <c r="E47" s="17">
        <v>0</v>
      </c>
      <c r="F47" s="18" t="s">
        <v>103</v>
      </c>
    </row>
    <row r="49" spans="1:6" x14ac:dyDescent="0.45">
      <c r="A49" s="11">
        <v>270</v>
      </c>
      <c r="B49" s="12" t="s">
        <v>104</v>
      </c>
      <c r="C49" s="13">
        <v>2076629829589</v>
      </c>
      <c r="D49" s="13">
        <v>1930231139346</v>
      </c>
      <c r="E49" s="13">
        <v>2529200260462</v>
      </c>
      <c r="F49" s="14"/>
    </row>
    <row r="51" spans="1:6" x14ac:dyDescent="0.45">
      <c r="A51" s="20" t="s">
        <v>105</v>
      </c>
    </row>
    <row r="52" spans="1:6" x14ac:dyDescent="0.45">
      <c r="B52" s="21" t="s">
        <v>106</v>
      </c>
      <c r="C52" s="22">
        <f>C49-(C6+C26)</f>
        <v>0</v>
      </c>
      <c r="D52" s="22">
        <f>D49-(D6+D26)</f>
        <v>0</v>
      </c>
      <c r="E52" s="22">
        <f>E49-(E6+E26)</f>
        <v>0</v>
      </c>
      <c r="F52" s="23" t="s">
        <v>107</v>
      </c>
    </row>
    <row r="53" spans="1:6" x14ac:dyDescent="0.45">
      <c r="B53" s="21" t="s">
        <v>108</v>
      </c>
      <c r="C53" s="22">
        <f>C29-(C30+C33+C36)</f>
        <v>0</v>
      </c>
      <c r="D53" s="22">
        <f>D29-(D30+D33+D36)</f>
        <v>0</v>
      </c>
      <c r="E53" s="22">
        <f>E29-(E30+E33+E36)</f>
        <v>0</v>
      </c>
      <c r="F53" s="23" t="s">
        <v>107</v>
      </c>
    </row>
    <row r="54" spans="1:6" x14ac:dyDescent="0.45">
      <c r="B54" s="21" t="s">
        <v>109</v>
      </c>
      <c r="C54" s="22">
        <f>C30-(C31-C32)</f>
        <v>0</v>
      </c>
      <c r="D54" s="22">
        <f>D30-(D31-D32)</f>
        <v>0</v>
      </c>
      <c r="E54" s="22">
        <f>E30-(E31-E32)</f>
        <v>0</v>
      </c>
      <c r="F54" s="23" t="s">
        <v>107</v>
      </c>
    </row>
    <row r="55" spans="1:6" x14ac:dyDescent="0.45">
      <c r="B55" s="21" t="s">
        <v>110</v>
      </c>
      <c r="C55" s="22">
        <f>C18-(C19-C20)</f>
        <v>0</v>
      </c>
      <c r="D55" s="22">
        <f>D18-(D19-D20)</f>
        <v>0</v>
      </c>
      <c r="E55" s="22">
        <f>E18-(E19-E20)</f>
        <v>0</v>
      </c>
      <c r="F55" s="23" t="s">
        <v>107</v>
      </c>
    </row>
    <row r="56" spans="1:6" x14ac:dyDescent="0.45">
      <c r="B56" s="21" t="s">
        <v>111</v>
      </c>
      <c r="C56" s="22">
        <f>C12-(C13+C14+C15+C16-C17)</f>
        <v>0</v>
      </c>
      <c r="D56" s="22">
        <f>D12-(D13+D14+D15+D16-D17)</f>
        <v>0</v>
      </c>
      <c r="E56" s="22">
        <f>E12-(E13+E14+E15+E16-E17)</f>
        <v>0</v>
      </c>
      <c r="F56" s="23" t="s">
        <v>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showGridLines="0" zoomScaleNormal="100" workbookViewId="0">
      <pane xSplit="2" ySplit="5" topLeftCell="C18" activePane="bottomRight" state="frozen"/>
      <selection pane="topRight" activeCell="C1" sqref="C1"/>
      <selection pane="bottomLeft" activeCell="A6" sqref="A6"/>
      <selection pane="bottomRight" activeCell="E16" sqref="C16:E16"/>
    </sheetView>
  </sheetViews>
  <sheetFormatPr defaultColWidth="8.6640625" defaultRowHeight="14.25" x14ac:dyDescent="0.45"/>
  <cols>
    <col min="1" max="1" width="8" customWidth="1"/>
    <col min="2" max="2" width="46" customWidth="1"/>
    <col min="3" max="5" width="22" customWidth="1"/>
    <col min="6" max="6" width="34" customWidth="1"/>
  </cols>
  <sheetData>
    <row r="1" spans="1:6" ht="16.899999999999999" x14ac:dyDescent="0.5">
      <c r="A1" s="7" t="s">
        <v>112</v>
      </c>
    </row>
    <row r="2" spans="1:6" x14ac:dyDescent="0.45">
      <c r="A2" s="8" t="s">
        <v>51</v>
      </c>
    </row>
    <row r="3" spans="1:6" x14ac:dyDescent="0.45">
      <c r="F3" s="9" t="s">
        <v>52</v>
      </c>
    </row>
    <row r="5" spans="1:6" ht="30" customHeight="1" x14ac:dyDescent="0.45">
      <c r="A5" s="10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</row>
    <row r="6" spans="1:6" x14ac:dyDescent="0.45">
      <c r="A6" s="11">
        <v>300</v>
      </c>
      <c r="B6" s="12" t="s">
        <v>113</v>
      </c>
      <c r="C6" s="13">
        <v>703411896251</v>
      </c>
      <c r="D6" s="13">
        <v>573685486036</v>
      </c>
      <c r="E6" s="13">
        <v>703597445053</v>
      </c>
      <c r="F6" s="14"/>
    </row>
    <row r="7" spans="1:6" x14ac:dyDescent="0.45">
      <c r="A7" s="15">
        <v>310</v>
      </c>
      <c r="B7" s="16" t="s">
        <v>114</v>
      </c>
      <c r="C7" s="17">
        <v>666286577823</v>
      </c>
      <c r="D7" s="17">
        <v>511697586717</v>
      </c>
      <c r="E7" s="17">
        <v>608751653213</v>
      </c>
      <c r="F7" s="18"/>
    </row>
    <row r="8" spans="1:6" x14ac:dyDescent="0.45">
      <c r="A8" s="15">
        <v>311</v>
      </c>
      <c r="B8" s="19" t="s">
        <v>115</v>
      </c>
      <c r="C8" s="17">
        <v>126460714750</v>
      </c>
      <c r="D8" s="17">
        <v>151502988335</v>
      </c>
      <c r="E8" s="17">
        <v>183920068898</v>
      </c>
      <c r="F8" s="18" t="s">
        <v>116</v>
      </c>
    </row>
    <row r="9" spans="1:6" x14ac:dyDescent="0.45">
      <c r="A9" s="15">
        <v>312</v>
      </c>
      <c r="B9" s="19" t="s">
        <v>117</v>
      </c>
      <c r="C9" s="17">
        <v>20890314563</v>
      </c>
      <c r="D9" s="17">
        <v>11074253824</v>
      </c>
      <c r="E9" s="17">
        <v>35223524344</v>
      </c>
      <c r="F9" s="18"/>
    </row>
    <row r="10" spans="1:6" x14ac:dyDescent="0.45">
      <c r="A10" s="15">
        <v>313</v>
      </c>
      <c r="B10" s="19" t="s">
        <v>118</v>
      </c>
      <c r="C10" s="17">
        <v>9476493621</v>
      </c>
      <c r="D10" s="17">
        <v>19713181099</v>
      </c>
      <c r="E10" s="17">
        <v>28650748806</v>
      </c>
      <c r="F10" s="18"/>
    </row>
    <row r="11" spans="1:6" x14ac:dyDescent="0.45">
      <c r="A11" s="15">
        <v>314</v>
      </c>
      <c r="B11" s="19" t="s">
        <v>119</v>
      </c>
      <c r="C11" s="17">
        <v>22163048875</v>
      </c>
      <c r="D11" s="17">
        <v>25057547792</v>
      </c>
      <c r="E11" s="17">
        <v>25134675997</v>
      </c>
      <c r="F11" s="18"/>
    </row>
    <row r="12" spans="1:6" x14ac:dyDescent="0.45">
      <c r="A12" s="15">
        <v>315</v>
      </c>
      <c r="B12" s="19" t="s">
        <v>120</v>
      </c>
      <c r="C12" s="17">
        <v>24260845667</v>
      </c>
      <c r="D12" s="17">
        <v>29760842941</v>
      </c>
      <c r="E12" s="17">
        <v>39249725925</v>
      </c>
      <c r="F12" s="18"/>
    </row>
    <row r="13" spans="1:6" x14ac:dyDescent="0.45">
      <c r="A13" s="15">
        <v>319</v>
      </c>
      <c r="B13" s="19" t="s">
        <v>121</v>
      </c>
      <c r="C13" s="17">
        <v>2000154598</v>
      </c>
      <c r="D13" s="17">
        <v>3479824889</v>
      </c>
      <c r="E13" s="17">
        <v>25426593287</v>
      </c>
      <c r="F13" s="18"/>
    </row>
    <row r="14" spans="1:6" x14ac:dyDescent="0.45">
      <c r="A14" s="15">
        <v>320</v>
      </c>
      <c r="B14" s="19" t="s">
        <v>122</v>
      </c>
      <c r="C14" s="17">
        <v>448650974237</v>
      </c>
      <c r="D14" s="17">
        <v>244959596102</v>
      </c>
      <c r="E14" s="17">
        <v>235224392726</v>
      </c>
      <c r="F14" s="18" t="s">
        <v>123</v>
      </c>
    </row>
    <row r="15" spans="1:6" x14ac:dyDescent="0.45">
      <c r="A15" s="15">
        <v>322</v>
      </c>
      <c r="B15" s="19" t="s">
        <v>124</v>
      </c>
      <c r="C15" s="17">
        <v>12384031512</v>
      </c>
      <c r="D15" s="17">
        <v>26149351735</v>
      </c>
      <c r="E15" s="17">
        <v>35921923230</v>
      </c>
      <c r="F15" s="18"/>
    </row>
    <row r="16" spans="1:6" x14ac:dyDescent="0.45">
      <c r="A16" s="15">
        <v>330</v>
      </c>
      <c r="B16" s="16" t="s">
        <v>125</v>
      </c>
      <c r="C16" s="17">
        <v>37125318428</v>
      </c>
      <c r="D16" s="17">
        <v>61987899319</v>
      </c>
      <c r="E16" s="17">
        <v>94845791840</v>
      </c>
      <c r="F16" s="18"/>
    </row>
    <row r="17" spans="1:6" x14ac:dyDescent="0.45">
      <c r="A17" s="15">
        <v>338</v>
      </c>
      <c r="B17" s="19" t="s">
        <v>126</v>
      </c>
      <c r="C17" s="17">
        <v>37125318428</v>
      </c>
      <c r="D17" s="17">
        <v>61987899319</v>
      </c>
      <c r="E17" s="17">
        <v>94845791840</v>
      </c>
      <c r="F17" s="18" t="s">
        <v>127</v>
      </c>
    </row>
    <row r="19" spans="1:6" x14ac:dyDescent="0.45">
      <c r="A19" s="11">
        <v>400</v>
      </c>
      <c r="B19" s="12" t="s">
        <v>128</v>
      </c>
      <c r="C19" s="13">
        <v>1373217933338</v>
      </c>
      <c r="D19" s="13">
        <v>1356545653310</v>
      </c>
      <c r="E19" s="13">
        <v>1825602815409</v>
      </c>
      <c r="F19" s="14"/>
    </row>
    <row r="20" spans="1:6" x14ac:dyDescent="0.45">
      <c r="A20" s="15">
        <v>410</v>
      </c>
      <c r="B20" s="16" t="s">
        <v>129</v>
      </c>
      <c r="C20" s="17">
        <v>1373217933338</v>
      </c>
      <c r="D20" s="17">
        <v>1356545653310</v>
      </c>
      <c r="E20" s="17">
        <v>1825602815409</v>
      </c>
      <c r="F20" s="18"/>
    </row>
    <row r="21" spans="1:6" x14ac:dyDescent="0.45">
      <c r="A21" s="15">
        <v>411</v>
      </c>
      <c r="B21" s="19" t="s">
        <v>130</v>
      </c>
      <c r="C21" s="17">
        <v>728800000000</v>
      </c>
      <c r="D21" s="17">
        <v>728800000000</v>
      </c>
      <c r="E21" s="17">
        <v>1129640000000</v>
      </c>
      <c r="F21" s="18" t="s">
        <v>131</v>
      </c>
    </row>
    <row r="22" spans="1:6" x14ac:dyDescent="0.45">
      <c r="A22" s="15">
        <v>412</v>
      </c>
      <c r="B22" s="19" t="s">
        <v>132</v>
      </c>
      <c r="C22" s="17">
        <v>327962683602</v>
      </c>
      <c r="D22" s="17">
        <v>327962683602</v>
      </c>
      <c r="E22" s="17">
        <v>327517083602</v>
      </c>
      <c r="F22" s="18"/>
    </row>
    <row r="23" spans="1:6" x14ac:dyDescent="0.45">
      <c r="A23" s="15">
        <v>418</v>
      </c>
      <c r="B23" s="19" t="s">
        <v>133</v>
      </c>
      <c r="C23" s="17">
        <v>13417059302</v>
      </c>
      <c r="D23" s="17">
        <v>13417059302</v>
      </c>
      <c r="E23" s="17">
        <v>13417059302</v>
      </c>
      <c r="F23" s="18"/>
    </row>
    <row r="24" spans="1:6" x14ac:dyDescent="0.45">
      <c r="A24" s="15">
        <v>421</v>
      </c>
      <c r="B24" s="19" t="s">
        <v>134</v>
      </c>
      <c r="C24" s="17">
        <v>279045243670</v>
      </c>
      <c r="D24" s="17">
        <v>285545590690</v>
      </c>
      <c r="E24" s="17">
        <v>354151889073</v>
      </c>
      <c r="F24" s="18"/>
    </row>
    <row r="25" spans="1:6" x14ac:dyDescent="0.45">
      <c r="A25" s="15" t="s">
        <v>135</v>
      </c>
      <c r="B25" s="19" t="s">
        <v>136</v>
      </c>
      <c r="C25" s="17">
        <v>184891708688</v>
      </c>
      <c r="D25" s="17">
        <v>227692200765</v>
      </c>
      <c r="E25" s="17">
        <v>234586829044</v>
      </c>
      <c r="F25" s="18"/>
    </row>
    <row r="26" spans="1:6" x14ac:dyDescent="0.45">
      <c r="A26" s="15" t="s">
        <v>137</v>
      </c>
      <c r="B26" s="19" t="s">
        <v>138</v>
      </c>
      <c r="C26" s="17">
        <v>94153534982</v>
      </c>
      <c r="D26" s="17">
        <v>57853389925</v>
      </c>
      <c r="E26" s="17">
        <v>119565060029</v>
      </c>
      <c r="F26" s="18"/>
    </row>
    <row r="27" spans="1:6" x14ac:dyDescent="0.45">
      <c r="A27" s="15">
        <v>429</v>
      </c>
      <c r="B27" s="19" t="s">
        <v>139</v>
      </c>
      <c r="C27" s="17">
        <v>23992946764</v>
      </c>
      <c r="D27" s="17">
        <v>820319716</v>
      </c>
      <c r="E27" s="17">
        <v>876783432</v>
      </c>
      <c r="F27" s="18"/>
    </row>
    <row r="29" spans="1:6" x14ac:dyDescent="0.45">
      <c r="A29" s="11">
        <v>440</v>
      </c>
      <c r="B29" s="12" t="s">
        <v>140</v>
      </c>
      <c r="C29" s="13">
        <v>2076629829589</v>
      </c>
      <c r="D29" s="13">
        <v>1930231139346</v>
      </c>
      <c r="E29" s="13">
        <v>2529200260462</v>
      </c>
      <c r="F29" s="14"/>
    </row>
    <row r="31" spans="1:6" x14ac:dyDescent="0.45">
      <c r="A31" s="20" t="s">
        <v>105</v>
      </c>
    </row>
    <row r="32" spans="1:6" x14ac:dyDescent="0.45">
      <c r="B32" s="21" t="s">
        <v>141</v>
      </c>
      <c r="C32" s="22">
        <f>C29-(C6+C19)</f>
        <v>0</v>
      </c>
      <c r="D32" s="22">
        <f>D29-(D6+D19)</f>
        <v>0</v>
      </c>
      <c r="E32" s="22">
        <f>E29-(E6+E19)</f>
        <v>0</v>
      </c>
      <c r="F32" s="23" t="s">
        <v>107</v>
      </c>
    </row>
    <row r="33" spans="2:6" x14ac:dyDescent="0.45">
      <c r="B33" s="21" t="s">
        <v>142</v>
      </c>
      <c r="C33" s="22">
        <f>C6-(C7+C16)</f>
        <v>0</v>
      </c>
      <c r="D33" s="22">
        <f>D6-(D7+D16)</f>
        <v>0</v>
      </c>
      <c r="E33" s="22">
        <f>E6-(E7+E16)</f>
        <v>0</v>
      </c>
      <c r="F33" s="23" t="s">
        <v>107</v>
      </c>
    </row>
    <row r="34" spans="2:6" x14ac:dyDescent="0.45">
      <c r="B34" s="21" t="s">
        <v>143</v>
      </c>
      <c r="C34" s="22">
        <f>C7-SUM(C8:C15)</f>
        <v>0</v>
      </c>
      <c r="D34" s="22">
        <f>D7-SUM(D8:D15)</f>
        <v>0</v>
      </c>
      <c r="E34" s="22">
        <f>E7-SUM(E8:E15)</f>
        <v>0</v>
      </c>
      <c r="F34" s="23" t="s">
        <v>107</v>
      </c>
    </row>
    <row r="35" spans="2:6" x14ac:dyDescent="0.45">
      <c r="B35" s="21" t="s">
        <v>144</v>
      </c>
      <c r="C35" s="22">
        <f>C20-(C21+C22+C23+C24+C27)</f>
        <v>0</v>
      </c>
      <c r="D35" s="22">
        <f>D20-(D21+D22+D23+D24+D27)</f>
        <v>0</v>
      </c>
      <c r="E35" s="22">
        <f>E20-(E21+E22+E23+E24+E27)</f>
        <v>0</v>
      </c>
      <c r="F35" s="23" t="s">
        <v>107</v>
      </c>
    </row>
    <row r="36" spans="2:6" x14ac:dyDescent="0.45">
      <c r="B36" s="21" t="s">
        <v>145</v>
      </c>
      <c r="C36" s="22">
        <f>C29-A_BCDKT_TaiSan!C49</f>
        <v>0</v>
      </c>
      <c r="D36" s="22">
        <f>D29-A_BCDKT_TaiSan!D49</f>
        <v>0</v>
      </c>
      <c r="E36" s="22">
        <f>E29-A_BCDKT_TaiSan!E49</f>
        <v>0</v>
      </c>
      <c r="F36" s="23" t="s">
        <v>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8" sqref="C18:E18"/>
    </sheetView>
  </sheetViews>
  <sheetFormatPr defaultColWidth="8.6640625" defaultRowHeight="14.25" x14ac:dyDescent="0.45"/>
  <cols>
    <col min="1" max="1" width="8" customWidth="1"/>
    <col min="2" max="2" width="46" customWidth="1"/>
    <col min="3" max="5" width="22" customWidth="1"/>
    <col min="6" max="6" width="40" customWidth="1"/>
  </cols>
  <sheetData>
    <row r="1" spans="1:6" ht="16.899999999999999" x14ac:dyDescent="0.5">
      <c r="A1" s="7" t="s">
        <v>146</v>
      </c>
    </row>
    <row r="2" spans="1:6" x14ac:dyDescent="0.45">
      <c r="A2" s="8" t="s">
        <v>147</v>
      </c>
    </row>
    <row r="3" spans="1:6" x14ac:dyDescent="0.45">
      <c r="F3" s="9" t="s">
        <v>52</v>
      </c>
    </row>
    <row r="5" spans="1:6" ht="30" customHeight="1" x14ac:dyDescent="0.45">
      <c r="A5" s="10" t="s">
        <v>148</v>
      </c>
      <c r="B5" s="10" t="s">
        <v>149</v>
      </c>
      <c r="C5" s="10" t="s">
        <v>55</v>
      </c>
      <c r="D5" s="10" t="s">
        <v>56</v>
      </c>
      <c r="E5" s="10" t="s">
        <v>57</v>
      </c>
      <c r="F5" s="10" t="s">
        <v>58</v>
      </c>
    </row>
    <row r="6" spans="1:6" x14ac:dyDescent="0.45">
      <c r="A6" s="15">
        <v>151</v>
      </c>
      <c r="B6" s="16" t="s">
        <v>150</v>
      </c>
      <c r="C6" s="17">
        <v>2854927825</v>
      </c>
      <c r="D6" s="17">
        <v>1911811576</v>
      </c>
      <c r="E6" s="17">
        <v>1621638</v>
      </c>
      <c r="F6" s="18"/>
    </row>
    <row r="7" spans="1:6" x14ac:dyDescent="0.45">
      <c r="A7" s="15">
        <v>152</v>
      </c>
      <c r="B7" s="16" t="s">
        <v>151</v>
      </c>
      <c r="C7" s="17">
        <v>110619487264</v>
      </c>
      <c r="D7" s="17">
        <v>109617529820</v>
      </c>
      <c r="E7" s="17">
        <v>109141860273</v>
      </c>
      <c r="F7" s="18" t="s">
        <v>152</v>
      </c>
    </row>
    <row r="8" spans="1:6" x14ac:dyDescent="0.45">
      <c r="A8" s="15">
        <v>153</v>
      </c>
      <c r="B8" s="16" t="s">
        <v>153</v>
      </c>
      <c r="C8" s="17">
        <v>9170699576</v>
      </c>
      <c r="D8" s="17">
        <v>11493365979</v>
      </c>
      <c r="E8" s="17">
        <v>14868316797</v>
      </c>
      <c r="F8" s="18"/>
    </row>
    <row r="9" spans="1:6" x14ac:dyDescent="0.45">
      <c r="A9" s="15">
        <v>154</v>
      </c>
      <c r="B9" s="16" t="s">
        <v>154</v>
      </c>
      <c r="C9" s="17">
        <v>49989085832</v>
      </c>
      <c r="D9" s="17">
        <v>46501449750</v>
      </c>
      <c r="E9" s="17">
        <v>55423165622</v>
      </c>
      <c r="F9" s="18" t="s">
        <v>155</v>
      </c>
    </row>
    <row r="10" spans="1:6" x14ac:dyDescent="0.45">
      <c r="A10" s="15">
        <v>155</v>
      </c>
      <c r="B10" s="16" t="s">
        <v>156</v>
      </c>
      <c r="C10" s="17">
        <v>60251021462</v>
      </c>
      <c r="D10" s="17">
        <v>49413042824</v>
      </c>
      <c r="E10" s="17">
        <v>58450225920</v>
      </c>
      <c r="F10" s="18" t="s">
        <v>157</v>
      </c>
    </row>
    <row r="11" spans="1:6" x14ac:dyDescent="0.45">
      <c r="A11" s="15">
        <v>156</v>
      </c>
      <c r="B11" s="16" t="s">
        <v>158</v>
      </c>
      <c r="C11" s="17">
        <v>362077897</v>
      </c>
      <c r="D11" s="17">
        <v>1355325276</v>
      </c>
      <c r="E11" s="17">
        <v>3223172456</v>
      </c>
      <c r="F11" s="18"/>
    </row>
    <row r="12" spans="1:6" x14ac:dyDescent="0.45">
      <c r="A12" s="15">
        <v>157</v>
      </c>
      <c r="B12" s="16" t="s">
        <v>159</v>
      </c>
      <c r="C12" s="17">
        <v>0</v>
      </c>
      <c r="D12" s="17">
        <v>0</v>
      </c>
      <c r="E12" s="17">
        <v>405060589</v>
      </c>
      <c r="F12" s="18"/>
    </row>
    <row r="13" spans="1:6" x14ac:dyDescent="0.45">
      <c r="A13" s="11">
        <v>141</v>
      </c>
      <c r="B13" s="12" t="s">
        <v>160</v>
      </c>
      <c r="C13" s="13">
        <v>233247299856</v>
      </c>
      <c r="D13" s="13">
        <v>220292525225</v>
      </c>
      <c r="E13" s="13">
        <v>241513423295</v>
      </c>
      <c r="F13" s="14" t="s">
        <v>161</v>
      </c>
    </row>
    <row r="15" spans="1:6" x14ac:dyDescent="0.45">
      <c r="A15" s="15" t="s">
        <v>162</v>
      </c>
      <c r="B15" s="19" t="s">
        <v>163</v>
      </c>
      <c r="C15" s="17">
        <v>4631403307</v>
      </c>
      <c r="D15" s="17">
        <v>2664744712</v>
      </c>
      <c r="E15" s="17">
        <v>1543365769</v>
      </c>
      <c r="F15" s="18" t="s">
        <v>164</v>
      </c>
    </row>
    <row r="16" spans="1:6" x14ac:dyDescent="0.45">
      <c r="A16" s="15" t="s">
        <v>165</v>
      </c>
      <c r="B16" s="19" t="s">
        <v>166</v>
      </c>
      <c r="C16" s="17">
        <v>314574331</v>
      </c>
      <c r="D16" s="17">
        <v>105668394</v>
      </c>
      <c r="E16" s="17">
        <v>807095871</v>
      </c>
      <c r="F16" s="18"/>
    </row>
    <row r="17" spans="1:6" x14ac:dyDescent="0.45">
      <c r="A17" s="15" t="s">
        <v>167</v>
      </c>
      <c r="B17" s="19" t="s">
        <v>168</v>
      </c>
      <c r="C17" s="17">
        <v>2281232926</v>
      </c>
      <c r="D17" s="17">
        <v>1227047337</v>
      </c>
      <c r="E17" s="17">
        <v>201977834</v>
      </c>
      <c r="F17" s="18"/>
    </row>
    <row r="18" spans="1:6" ht="23.25" x14ac:dyDescent="0.45">
      <c r="A18" s="15">
        <v>159</v>
      </c>
      <c r="B18" s="16" t="s">
        <v>169</v>
      </c>
      <c r="C18" s="17">
        <v>2664744712</v>
      </c>
      <c r="D18" s="17">
        <v>1543365769</v>
      </c>
      <c r="E18" s="17">
        <v>2148483806</v>
      </c>
      <c r="F18" s="18" t="s">
        <v>170</v>
      </c>
    </row>
    <row r="19" spans="1:6" x14ac:dyDescent="0.45">
      <c r="A19" s="11">
        <v>140</v>
      </c>
      <c r="B19" s="12" t="s">
        <v>171</v>
      </c>
      <c r="C19" s="13">
        <v>230582555144</v>
      </c>
      <c r="D19" s="13">
        <v>218749159456</v>
      </c>
      <c r="E19" s="13">
        <v>239364939489</v>
      </c>
      <c r="F19" s="14" t="s">
        <v>172</v>
      </c>
    </row>
    <row r="21" spans="1:6" x14ac:dyDescent="0.45">
      <c r="A21" s="20" t="s">
        <v>105</v>
      </c>
    </row>
    <row r="22" spans="1:6" x14ac:dyDescent="0.45">
      <c r="B22" s="21" t="s">
        <v>173</v>
      </c>
      <c r="C22" s="22">
        <f>C13-SUM(C6:C12)</f>
        <v>0</v>
      </c>
      <c r="D22" s="22">
        <f>D13-SUM(D6:D12)</f>
        <v>0</v>
      </c>
      <c r="E22" s="22">
        <f>E13-SUM(E6:E12)</f>
        <v>0</v>
      </c>
      <c r="F22" s="23" t="s">
        <v>107</v>
      </c>
    </row>
    <row r="23" spans="1:6" x14ac:dyDescent="0.45">
      <c r="B23" s="21" t="s">
        <v>174</v>
      </c>
      <c r="C23" s="22">
        <f>C19-(C13-C18)</f>
        <v>0</v>
      </c>
      <c r="D23" s="22">
        <f>D19-(D13-D18)</f>
        <v>0</v>
      </c>
      <c r="E23" s="22">
        <f>E19-(E13-E18)</f>
        <v>0</v>
      </c>
      <c r="F23" s="23" t="s">
        <v>107</v>
      </c>
    </row>
    <row r="24" spans="1:6" x14ac:dyDescent="0.45">
      <c r="B24" s="21" t="s">
        <v>175</v>
      </c>
      <c r="C24" s="22">
        <f>C18-(C15+C16-C17)</f>
        <v>0</v>
      </c>
      <c r="D24" s="22">
        <f>D18-(D15+D16-D17)</f>
        <v>0</v>
      </c>
      <c r="E24" s="22">
        <f>E18-(E15+E16-E17)</f>
        <v>0</v>
      </c>
      <c r="F24" s="23" t="s">
        <v>107</v>
      </c>
    </row>
    <row r="25" spans="1:6" x14ac:dyDescent="0.45">
      <c r="B25" s="21" t="s">
        <v>176</v>
      </c>
      <c r="C25" s="22">
        <f>C13-A_BCDKT_TaiSan!C19</f>
        <v>0</v>
      </c>
      <c r="D25" s="22">
        <f>D13-A_BCDKT_TaiSan!D19</f>
        <v>0</v>
      </c>
      <c r="E25" s="22">
        <f>E13-A_BCDKT_TaiSan!E19</f>
        <v>0</v>
      </c>
      <c r="F25" s="23" t="s">
        <v>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29" sqref="C29"/>
    </sheetView>
  </sheetViews>
  <sheetFormatPr defaultColWidth="8.6640625" defaultRowHeight="14.25" x14ac:dyDescent="0.45"/>
  <cols>
    <col min="1" max="1" width="8" customWidth="1"/>
    <col min="2" max="2" width="46" customWidth="1"/>
    <col min="3" max="5" width="22" customWidth="1"/>
    <col min="6" max="6" width="40" customWidth="1"/>
  </cols>
  <sheetData>
    <row r="1" spans="1:6" ht="16.899999999999999" x14ac:dyDescent="0.5">
      <c r="A1" s="7" t="s">
        <v>177</v>
      </c>
    </row>
    <row r="2" spans="1:6" x14ac:dyDescent="0.45">
      <c r="A2" s="8" t="s">
        <v>178</v>
      </c>
    </row>
    <row r="3" spans="1:6" x14ac:dyDescent="0.45">
      <c r="F3" s="9" t="s">
        <v>52</v>
      </c>
    </row>
    <row r="5" spans="1:6" ht="30" customHeight="1" x14ac:dyDescent="0.45">
      <c r="A5" s="10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</row>
    <row r="6" spans="1:6" x14ac:dyDescent="0.45">
      <c r="A6" s="15" t="s">
        <v>179</v>
      </c>
      <c r="B6" s="16" t="s">
        <v>180</v>
      </c>
      <c r="C6" s="17">
        <v>2040961680650</v>
      </c>
      <c r="D6" s="17">
        <v>2098726472452</v>
      </c>
      <c r="E6" s="17">
        <v>2313527757468</v>
      </c>
      <c r="F6" s="18"/>
    </row>
    <row r="7" spans="1:6" x14ac:dyDescent="0.45">
      <c r="A7" s="15" t="s">
        <v>181</v>
      </c>
      <c r="B7" s="16" t="s">
        <v>182</v>
      </c>
      <c r="C7" s="17">
        <v>1676922497</v>
      </c>
      <c r="D7" s="17">
        <v>1821019812</v>
      </c>
      <c r="E7" s="17">
        <v>2322804549</v>
      </c>
      <c r="F7" s="18" t="s">
        <v>73</v>
      </c>
    </row>
    <row r="8" spans="1:6" x14ac:dyDescent="0.45">
      <c r="A8" s="11" t="s">
        <v>183</v>
      </c>
      <c r="B8" s="12" t="s">
        <v>184</v>
      </c>
      <c r="C8" s="13">
        <v>2039284758153</v>
      </c>
      <c r="D8" s="13">
        <v>2096905452640</v>
      </c>
      <c r="E8" s="13">
        <v>2311204952919</v>
      </c>
      <c r="F8" s="14" t="s">
        <v>185</v>
      </c>
    </row>
    <row r="9" spans="1:6" x14ac:dyDescent="0.45">
      <c r="A9" s="15" t="s">
        <v>186</v>
      </c>
      <c r="B9" s="16" t="s">
        <v>187</v>
      </c>
      <c r="C9" s="17">
        <v>1736658116472</v>
      </c>
      <c r="D9" s="17">
        <v>1706260890180</v>
      </c>
      <c r="E9" s="17">
        <v>1912082184770</v>
      </c>
      <c r="F9" s="18" t="s">
        <v>188</v>
      </c>
    </row>
    <row r="10" spans="1:6" x14ac:dyDescent="0.45">
      <c r="A10" s="11" t="s">
        <v>189</v>
      </c>
      <c r="B10" s="12" t="s">
        <v>190</v>
      </c>
      <c r="C10" s="13">
        <v>302626641681</v>
      </c>
      <c r="D10" s="13">
        <v>390644562460</v>
      </c>
      <c r="E10" s="13">
        <v>399122768149</v>
      </c>
      <c r="F10" s="14"/>
    </row>
    <row r="11" spans="1:6" x14ac:dyDescent="0.45">
      <c r="A11" s="15" t="s">
        <v>191</v>
      </c>
      <c r="B11" s="16" t="s">
        <v>192</v>
      </c>
      <c r="C11" s="17">
        <v>36269307014</v>
      </c>
      <c r="D11" s="17">
        <v>32026200197</v>
      </c>
      <c r="E11" s="17">
        <v>35058145517</v>
      </c>
      <c r="F11" s="18"/>
    </row>
    <row r="12" spans="1:6" x14ac:dyDescent="0.45">
      <c r="A12" s="15" t="s">
        <v>193</v>
      </c>
      <c r="B12" s="16" t="s">
        <v>194</v>
      </c>
      <c r="C12" s="17">
        <v>50164360653</v>
      </c>
      <c r="D12" s="17">
        <v>32499247742</v>
      </c>
      <c r="E12" s="17">
        <v>37141382228</v>
      </c>
      <c r="F12" s="18" t="s">
        <v>195</v>
      </c>
    </row>
    <row r="13" spans="1:6" x14ac:dyDescent="0.45">
      <c r="A13" s="15" t="s">
        <v>196</v>
      </c>
      <c r="B13" s="19" t="s">
        <v>197</v>
      </c>
      <c r="C13" s="17">
        <v>45942326390</v>
      </c>
      <c r="D13" s="17">
        <v>21203575185</v>
      </c>
      <c r="E13" s="17">
        <v>16100394821</v>
      </c>
      <c r="F13" s="18" t="s">
        <v>198</v>
      </c>
    </row>
    <row r="14" spans="1:6" x14ac:dyDescent="0.45">
      <c r="A14" s="15" t="s">
        <v>199</v>
      </c>
      <c r="B14" s="16" t="s">
        <v>200</v>
      </c>
      <c r="C14" s="17">
        <v>5486986323</v>
      </c>
      <c r="D14" s="17">
        <v>65324141998</v>
      </c>
      <c r="E14" s="17">
        <v>1347000570</v>
      </c>
      <c r="F14" s="18" t="s">
        <v>201</v>
      </c>
    </row>
    <row r="15" spans="1:6" x14ac:dyDescent="0.45">
      <c r="A15" s="15" t="s">
        <v>202</v>
      </c>
      <c r="B15" s="16" t="s">
        <v>203</v>
      </c>
      <c r="C15" s="17">
        <v>92582404275</v>
      </c>
      <c r="D15" s="17">
        <v>129255674644</v>
      </c>
      <c r="E15" s="17">
        <v>133870768647</v>
      </c>
      <c r="F15" s="18" t="s">
        <v>195</v>
      </c>
    </row>
    <row r="16" spans="1:6" x14ac:dyDescent="0.45">
      <c r="A16" s="15" t="s">
        <v>204</v>
      </c>
      <c r="B16" s="16" t="s">
        <v>205</v>
      </c>
      <c r="C16" s="17">
        <v>73591545890</v>
      </c>
      <c r="D16" s="17">
        <v>83243116647</v>
      </c>
      <c r="E16" s="17">
        <v>100811309874</v>
      </c>
      <c r="F16" s="18" t="s">
        <v>195</v>
      </c>
    </row>
    <row r="17" spans="1:6" x14ac:dyDescent="0.45">
      <c r="A17" s="11" t="s">
        <v>206</v>
      </c>
      <c r="B17" s="12" t="s">
        <v>207</v>
      </c>
      <c r="C17" s="13">
        <v>117070651554</v>
      </c>
      <c r="D17" s="13">
        <v>112348581626</v>
      </c>
      <c r="E17" s="13">
        <v>161010452347</v>
      </c>
      <c r="F17" s="14" t="s">
        <v>208</v>
      </c>
    </row>
    <row r="18" spans="1:6" x14ac:dyDescent="0.45">
      <c r="A18" s="15" t="s">
        <v>209</v>
      </c>
      <c r="B18" s="16" t="s">
        <v>210</v>
      </c>
      <c r="C18" s="17">
        <v>5088405237</v>
      </c>
      <c r="D18" s="17">
        <v>3336091731</v>
      </c>
      <c r="E18" s="17">
        <v>5917485478</v>
      </c>
      <c r="F18" s="18"/>
    </row>
    <row r="19" spans="1:6" x14ac:dyDescent="0.45">
      <c r="A19" s="15" t="s">
        <v>211</v>
      </c>
      <c r="B19" s="16" t="s">
        <v>212</v>
      </c>
      <c r="C19" s="17">
        <v>1615814325</v>
      </c>
      <c r="D19" s="17">
        <v>4214133837</v>
      </c>
      <c r="E19" s="17">
        <v>5044099532</v>
      </c>
      <c r="F19" s="18" t="s">
        <v>195</v>
      </c>
    </row>
    <row r="20" spans="1:6" x14ac:dyDescent="0.45">
      <c r="A20" s="15" t="s">
        <v>213</v>
      </c>
      <c r="B20" s="16" t="s">
        <v>214</v>
      </c>
      <c r="C20" s="17">
        <v>3472590912</v>
      </c>
      <c r="D20" s="17">
        <v>-878042106</v>
      </c>
      <c r="E20" s="17">
        <v>873385946</v>
      </c>
      <c r="F20" s="18" t="s">
        <v>215</v>
      </c>
    </row>
    <row r="21" spans="1:6" x14ac:dyDescent="0.45">
      <c r="A21" s="11" t="s">
        <v>216</v>
      </c>
      <c r="B21" s="12" t="s">
        <v>217</v>
      </c>
      <c r="C21" s="13">
        <v>120543242466</v>
      </c>
      <c r="D21" s="13">
        <v>111470539520</v>
      </c>
      <c r="E21" s="13">
        <v>161883838293</v>
      </c>
      <c r="F21" s="14" t="s">
        <v>218</v>
      </c>
    </row>
    <row r="22" spans="1:6" x14ac:dyDescent="0.45">
      <c r="A22" s="15" t="s">
        <v>219</v>
      </c>
      <c r="B22" s="16" t="s">
        <v>220</v>
      </c>
      <c r="C22" s="17">
        <v>24001577026</v>
      </c>
      <c r="D22" s="17">
        <v>24082931845</v>
      </c>
      <c r="E22" s="17">
        <v>42499245338</v>
      </c>
      <c r="F22" s="18" t="s">
        <v>195</v>
      </c>
    </row>
    <row r="23" spans="1:6" x14ac:dyDescent="0.45">
      <c r="A23" s="15" t="s">
        <v>221</v>
      </c>
      <c r="B23" s="16" t="s">
        <v>222</v>
      </c>
      <c r="C23" s="17">
        <v>-298412403</v>
      </c>
      <c r="D23" s="17">
        <v>467095516</v>
      </c>
      <c r="E23" s="17">
        <v>243276247</v>
      </c>
      <c r="F23" s="18" t="s">
        <v>223</v>
      </c>
    </row>
    <row r="24" spans="1:6" x14ac:dyDescent="0.45">
      <c r="A24" s="11" t="s">
        <v>224</v>
      </c>
      <c r="B24" s="12" t="s">
        <v>225</v>
      </c>
      <c r="C24" s="13">
        <v>96243253037</v>
      </c>
      <c r="D24" s="13">
        <v>87854703191</v>
      </c>
      <c r="E24" s="13">
        <v>119627869202</v>
      </c>
      <c r="F24" s="14"/>
    </row>
    <row r="25" spans="1:6" x14ac:dyDescent="0.45">
      <c r="A25" s="15" t="s">
        <v>226</v>
      </c>
      <c r="B25" s="16" t="s">
        <v>227</v>
      </c>
      <c r="C25" s="17">
        <v>95126012037</v>
      </c>
      <c r="D25" s="17">
        <v>86009421420</v>
      </c>
      <c r="E25" s="17">
        <v>119565060029</v>
      </c>
      <c r="F25" s="18" t="s">
        <v>228</v>
      </c>
    </row>
    <row r="26" spans="1:6" x14ac:dyDescent="0.45">
      <c r="A26" s="15" t="s">
        <v>229</v>
      </c>
      <c r="B26" s="16" t="s">
        <v>230</v>
      </c>
      <c r="C26" s="17">
        <v>1117241000</v>
      </c>
      <c r="D26" s="17">
        <v>1845281771</v>
      </c>
      <c r="E26" s="17">
        <v>62809173</v>
      </c>
      <c r="F26" s="18"/>
    </row>
    <row r="28" spans="1:6" x14ac:dyDescent="0.45">
      <c r="A28" s="20" t="s">
        <v>105</v>
      </c>
    </row>
    <row r="29" spans="1:6" x14ac:dyDescent="0.45">
      <c r="B29" s="21" t="s">
        <v>231</v>
      </c>
      <c r="C29" s="22">
        <f>C8-(C6-C7)</f>
        <v>0</v>
      </c>
      <c r="D29" s="22">
        <f>D8-(D6-D7)</f>
        <v>0</v>
      </c>
      <c r="E29" s="22">
        <f>E8-(E6-E7)</f>
        <v>0</v>
      </c>
      <c r="F29" s="23" t="s">
        <v>107</v>
      </c>
    </row>
    <row r="30" spans="1:6" x14ac:dyDescent="0.45">
      <c r="B30" s="21" t="s">
        <v>232</v>
      </c>
      <c r="C30" s="22">
        <f>C10-(C8-C9)</f>
        <v>0</v>
      </c>
      <c r="D30" s="22">
        <f>D10-(D8-D9)</f>
        <v>0</v>
      </c>
      <c r="E30" s="22">
        <f>E10-(E8-E9)</f>
        <v>0</v>
      </c>
      <c r="F30" s="23" t="s">
        <v>107</v>
      </c>
    </row>
    <row r="31" spans="1:6" x14ac:dyDescent="0.45">
      <c r="B31" s="21" t="s">
        <v>233</v>
      </c>
      <c r="C31" s="22">
        <f>C17-(C10+C11-C12-C14-C15-C16)</f>
        <v>0</v>
      </c>
      <c r="D31" s="22">
        <f>D17-(D10+D11-D12-D14-D15-D16)</f>
        <v>0</v>
      </c>
      <c r="E31" s="22">
        <f>E17-(E10+E11-E12-E14-E15-E16)</f>
        <v>0</v>
      </c>
      <c r="F31" s="23" t="s">
        <v>107</v>
      </c>
    </row>
    <row r="32" spans="1:6" x14ac:dyDescent="0.45">
      <c r="B32" s="21" t="s">
        <v>234</v>
      </c>
      <c r="C32" s="22">
        <f>C20-(C18-C19)</f>
        <v>0</v>
      </c>
      <c r="D32" s="22">
        <f>D20-(D18-D19)</f>
        <v>0</v>
      </c>
      <c r="E32" s="22">
        <f>E20-(E18-E19)</f>
        <v>0</v>
      </c>
      <c r="F32" s="23" t="s">
        <v>107</v>
      </c>
    </row>
    <row r="33" spans="2:6" x14ac:dyDescent="0.45">
      <c r="B33" s="21" t="s">
        <v>235</v>
      </c>
      <c r="C33" s="22">
        <f>C21-(C17+C20)</f>
        <v>0</v>
      </c>
      <c r="D33" s="22">
        <f>D21-(D17+D20)</f>
        <v>0</v>
      </c>
      <c r="E33" s="22">
        <f>E21-(E17+E20)</f>
        <v>0</v>
      </c>
      <c r="F33" s="23" t="s">
        <v>107</v>
      </c>
    </row>
    <row r="34" spans="2:6" x14ac:dyDescent="0.45">
      <c r="B34" s="21" t="s">
        <v>236</v>
      </c>
      <c r="C34" s="22">
        <f>C24-(C21-C22+C23)</f>
        <v>0</v>
      </c>
      <c r="D34" s="22">
        <f>D24-(D21-D22+D23)</f>
        <v>0</v>
      </c>
      <c r="E34" s="22">
        <f>E24-(E21-E22+E23)</f>
        <v>0</v>
      </c>
      <c r="F34" s="23" t="s">
        <v>107</v>
      </c>
    </row>
    <row r="35" spans="2:6" x14ac:dyDescent="0.45">
      <c r="B35" s="21" t="s">
        <v>237</v>
      </c>
      <c r="C35" s="22">
        <f>C24-(C25+C26)</f>
        <v>0</v>
      </c>
      <c r="D35" s="22">
        <f>D24-(D25+D26)</f>
        <v>0</v>
      </c>
      <c r="E35" s="22">
        <f>E24-(E25+E26)</f>
        <v>0</v>
      </c>
      <c r="F35" s="23" t="s">
        <v>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8" sqref="E8"/>
    </sheetView>
  </sheetViews>
  <sheetFormatPr defaultColWidth="8.6640625" defaultRowHeight="14.25" x14ac:dyDescent="0.45"/>
  <cols>
    <col min="1" max="1" width="8" customWidth="1"/>
    <col min="2" max="2" width="46" customWidth="1"/>
    <col min="3" max="5" width="22" customWidth="1"/>
    <col min="6" max="6" width="42" customWidth="1"/>
  </cols>
  <sheetData>
    <row r="1" spans="1:6" ht="16.899999999999999" x14ac:dyDescent="0.5">
      <c r="A1" s="7" t="s">
        <v>238</v>
      </c>
    </row>
    <row r="2" spans="1:6" x14ac:dyDescent="0.45">
      <c r="A2" s="8" t="s">
        <v>239</v>
      </c>
    </row>
    <row r="3" spans="1:6" x14ac:dyDescent="0.45">
      <c r="F3" s="9" t="s">
        <v>52</v>
      </c>
    </row>
    <row r="5" spans="1:6" ht="30" customHeight="1" x14ac:dyDescent="0.45">
      <c r="A5" s="10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</row>
    <row r="6" spans="1:6" x14ac:dyDescent="0.45">
      <c r="A6" s="11"/>
      <c r="B6" s="12" t="s">
        <v>240</v>
      </c>
      <c r="C6" s="13"/>
      <c r="D6" s="13"/>
      <c r="E6" s="13"/>
      <c r="F6" s="14"/>
    </row>
    <row r="7" spans="1:6" ht="23.25" x14ac:dyDescent="0.45">
      <c r="A7" s="15" t="s">
        <v>181</v>
      </c>
      <c r="B7" s="16" t="s">
        <v>241</v>
      </c>
      <c r="C7" s="17">
        <v>110772493394</v>
      </c>
      <c r="D7" s="17">
        <v>107615606434</v>
      </c>
      <c r="E7" s="17">
        <v>115911638400</v>
      </c>
      <c r="F7" s="18" t="s">
        <v>242</v>
      </c>
    </row>
    <row r="8" spans="1:6" x14ac:dyDescent="0.45">
      <c r="A8" s="15" t="s">
        <v>243</v>
      </c>
      <c r="B8" s="16" t="s">
        <v>244</v>
      </c>
      <c r="C8" s="17">
        <v>45942326390</v>
      </c>
      <c r="D8" s="17">
        <v>21358747599</v>
      </c>
      <c r="E8" s="17">
        <v>16410739649</v>
      </c>
      <c r="F8" s="18" t="s">
        <v>245</v>
      </c>
    </row>
    <row r="9" spans="1:6" x14ac:dyDescent="0.45">
      <c r="A9" s="15" t="s">
        <v>191</v>
      </c>
      <c r="B9" s="16" t="s">
        <v>246</v>
      </c>
      <c r="C9" s="17">
        <v>48578902991</v>
      </c>
      <c r="D9" s="17">
        <v>138500262248</v>
      </c>
      <c r="E9" s="17">
        <v>437697616704</v>
      </c>
      <c r="F9" s="18" t="s">
        <v>247</v>
      </c>
    </row>
    <row r="10" spans="1:6" x14ac:dyDescent="0.45">
      <c r="A10" s="15" t="s">
        <v>189</v>
      </c>
      <c r="B10" s="16" t="s">
        <v>248</v>
      </c>
      <c r="C10" s="17">
        <v>317747389510</v>
      </c>
      <c r="D10" s="17">
        <v>221025828996</v>
      </c>
      <c r="E10" s="17">
        <v>214122633014</v>
      </c>
      <c r="F10" s="18" t="s">
        <v>249</v>
      </c>
    </row>
    <row r="11" spans="1:6" x14ac:dyDescent="0.45">
      <c r="A11" s="15" t="s">
        <v>206</v>
      </c>
      <c r="B11" s="16" t="s">
        <v>250</v>
      </c>
      <c r="C11" s="17">
        <v>-358031210636</v>
      </c>
      <c r="D11" s="17">
        <v>134441568375</v>
      </c>
      <c r="E11" s="17">
        <v>-446906554372</v>
      </c>
      <c r="F11" s="18" t="s">
        <v>251</v>
      </c>
    </row>
    <row r="13" spans="1:6" x14ac:dyDescent="0.45">
      <c r="A13" s="11"/>
      <c r="B13" s="12" t="s">
        <v>252</v>
      </c>
      <c r="C13" s="13"/>
      <c r="D13" s="13"/>
      <c r="E13" s="13"/>
      <c r="F13" s="14"/>
    </row>
    <row r="14" spans="1:6" x14ac:dyDescent="0.45">
      <c r="A14" s="24"/>
      <c r="B14" s="16" t="s">
        <v>253</v>
      </c>
      <c r="C14" s="25">
        <f>D_KQKD!C17+C7</f>
        <v>227843144948</v>
      </c>
      <c r="D14" s="25">
        <f>D_KQKD!D17+D7</f>
        <v>219964188060</v>
      </c>
      <c r="E14" s="25">
        <f>D_KQKD!E17+E7</f>
        <v>276922090747</v>
      </c>
      <c r="F14" s="26" t="s">
        <v>254</v>
      </c>
    </row>
    <row r="15" spans="1:6" x14ac:dyDescent="0.45">
      <c r="A15" s="24"/>
      <c r="B15" s="16" t="s">
        <v>255</v>
      </c>
      <c r="C15" s="25">
        <f>B_BCDKT_NguonVon!C14+B_BCDKT_NguonVon!C17</f>
        <v>485776292665</v>
      </c>
      <c r="D15" s="25">
        <f>B_BCDKT_NguonVon!D14+B_BCDKT_NguonVon!D17</f>
        <v>306947495421</v>
      </c>
      <c r="E15" s="25">
        <f>B_BCDKT_NguonVon!E14+B_BCDKT_NguonVon!E17</f>
        <v>330070184566</v>
      </c>
      <c r="F15" s="26" t="s">
        <v>256</v>
      </c>
    </row>
    <row r="16" spans="1:6" x14ac:dyDescent="0.45">
      <c r="A16" s="24"/>
      <c r="B16" s="16" t="s">
        <v>257</v>
      </c>
      <c r="C16" s="25">
        <f>C_HangTonKho!C7+C_HangTonKho!C9+C_HangTonKho!C10</f>
        <v>220859594558</v>
      </c>
      <c r="D16" s="25">
        <f>C_HangTonKho!D7+C_HangTonKho!D9+C_HangTonKho!D10</f>
        <v>205532022394</v>
      </c>
      <c r="E16" s="25">
        <f>C_HangTonKho!E7+C_HangTonKho!E9+C_HangTonKho!E10</f>
        <v>223015251815</v>
      </c>
      <c r="F16" s="26" t="s">
        <v>258</v>
      </c>
    </row>
    <row r="17" spans="1:6" x14ac:dyDescent="0.45">
      <c r="A17" s="24"/>
      <c r="B17" s="16" t="s">
        <v>259</v>
      </c>
      <c r="C17" s="25">
        <f>A_BCDKT_TaiSan!C13+A_BCDKT_TaiSan!C18-B_BCDKT_NguonVon!C8</f>
        <v>329820757905</v>
      </c>
      <c r="D17" s="25">
        <f>A_BCDKT_TaiSan!D13+A_BCDKT_TaiSan!D18-B_BCDKT_NguonVon!D8</f>
        <v>366099831206</v>
      </c>
      <c r="E17" s="25">
        <f>A_BCDKT_TaiSan!E13+A_BCDKT_TaiSan!E18-B_BCDKT_NguonVon!E8</f>
        <v>336486428368</v>
      </c>
      <c r="F17" s="26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00_Doc_Nguon</vt:lpstr>
      <vt:lpstr>A_BCDKT_TaiSan</vt:lpstr>
      <vt:lpstr>B_BCDKT_NguonVon</vt:lpstr>
      <vt:lpstr>C_HangTonKho</vt:lpstr>
      <vt:lpstr>D_KQKD</vt:lpstr>
      <vt:lpstr>E_BoSung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Kien Nguyen</cp:lastModifiedBy>
  <cp:revision>0</cp:revision>
  <dcterms:created xsi:type="dcterms:W3CDTF">2026-08-06T06:07:41Z</dcterms:created>
  <dcterms:modified xsi:type="dcterms:W3CDTF">2026-08-06T07:55:40Z</dcterms:modified>
  <dc:language>en-US</dc:language>
</cp:coreProperties>
</file>