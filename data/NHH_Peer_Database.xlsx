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Guide" sheetId="1" state="visible" r:id="rId3"/>
    <sheet name="01_AAA" sheetId="2" state="visible" r:id="rId4"/>
    <sheet name="02_NTP" sheetId="3" state="visible" r:id="rId5"/>
    <sheet name="03_SKP" sheetId="4" state="visible" r:id="rId6"/>
    <sheet name="04_Sanko" sheetId="5" state="visible" r:id="rId7"/>
    <sheet name="05_Nolato" sheetId="6" state="visible" r:id="rId8"/>
    <sheet name="06_Master" sheetId="7" state="visible" r:id="rId9"/>
    <sheet name="07_Gap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<sst xmlns="http://schemas.openxmlformats.org/spreadsheetml/2006/main" count="864" uniqueCount="437">
  <si>
    <t xml:space="preserve">PEER DATABASE — WORKING CAPITAL BENCHMARKING</t>
  </si>
  <si>
    <t xml:space="preserve">Staging file for NHH peer set. Raw as-reported figures only — no adjustments, no FX conversion.</t>
  </si>
  <si>
    <t xml:space="preserve">A. PEER SET</t>
  </si>
  <si>
    <t xml:space="preserve">Company</t>
  </si>
  <si>
    <t xml:space="preserve">Ticker</t>
  </si>
  <si>
    <t xml:space="preserve">Exchange</t>
  </si>
  <si>
    <t xml:space="preserve">Currency</t>
  </si>
  <si>
    <t xml:space="preserve">Units</t>
  </si>
  <si>
    <t xml:space="preserve">Notes</t>
  </si>
  <si>
    <t xml:space="preserve">Nhua Ha Noi (subject)</t>
  </si>
  <si>
    <t xml:space="preserve">NHH</t>
  </si>
  <si>
    <t xml:space="preserve">HNX</t>
  </si>
  <si>
    <t xml:space="preserve">VND</t>
  </si>
  <si>
    <t xml:space="preserve">Dong (units)</t>
  </si>
  <si>
    <t xml:space="preserve">Subject company — held in main model 01_Inputs</t>
  </si>
  <si>
    <t xml:space="preserve">An Phat Bioplastics</t>
  </si>
  <si>
    <t xml:space="preserve">AAA</t>
  </si>
  <si>
    <t xml:space="preserve">HOSE</t>
  </si>
  <si>
    <t xml:space="preserve">CAUTION: holds an associate stake in NHH — see note below</t>
  </si>
  <si>
    <t xml:space="preserve">Nhua Tien Phong</t>
  </si>
  <si>
    <t xml:space="preserve">NTP</t>
  </si>
  <si>
    <t xml:space="preserve">Domestic peer — pipes, B2C/distribution model</t>
  </si>
  <si>
    <t xml:space="preserve">SKP Resources</t>
  </si>
  <si>
    <t xml:space="preserve">SKP</t>
  </si>
  <si>
    <t xml:space="preserve">Bursa Malaysia</t>
  </si>
  <si>
    <t xml:space="preserve">MYR</t>
  </si>
  <si>
    <t xml:space="preserve">RM'000</t>
  </si>
  <si>
    <t xml:space="preserve">FY ends 31/03 — confirmed in source file</t>
  </si>
  <si>
    <t xml:space="preserve">Sanko Gosei</t>
  </si>
  <si>
    <t xml:space="preserve">7888</t>
  </si>
  <si>
    <t xml:space="preserve">TSE</t>
  </si>
  <si>
    <t xml:space="preserve">JPY</t>
  </si>
  <si>
    <t xml:space="preserve">JPY million</t>
  </si>
  <si>
    <t xml:space="preserve">FY end to be confirmed (likely 31/03)</t>
  </si>
  <si>
    <t xml:space="preserve">Nolato AB</t>
  </si>
  <si>
    <t xml:space="preserve">NOLA-B</t>
  </si>
  <si>
    <t xml:space="preserve">Nasdaq Stockholm</t>
  </si>
  <si>
    <t xml:space="preserve">SEK</t>
  </si>
  <si>
    <t xml:space="preserve">SEK million</t>
  </si>
  <si>
    <t xml:space="preserve">FY ends 31/12 — IFRS</t>
  </si>
  <si>
    <t xml:space="preserve">B. HOW TO USE THIS FILE</t>
  </si>
  <si>
    <t xml:space="preserve">One sheet per company. Each sheet has two blocks:</t>
  </si>
  <si>
    <t xml:space="preserve">   RAW EXTRACT — figures exactly as reported, transcribed from the source file. Do not edit.</t>
  </si>
  <si>
    <t xml:space="preserve">   STANDARDISED FOR CCC — the eight line items the CCC engine needs, pulled from the raw block by formula where available.</t>
  </si>
  <si>
    <t xml:space="preserve">YELLOW cells are gaps you still need to fill. BLUE text = hardcoded input. GREEN text = formula link within this file.</t>
  </si>
  <si>
    <t xml:space="preserve">Enter figures in the currency and units stated on each sheet. Never convert FX here — CCC is a ratio in days and needs no conversion.</t>
  </si>
  <si>
    <t xml:space="preserve">Do not enter 0 for an item the company does not disclose. Leave it blank: 0 and "not disclosed" are different and the engine treats them differently.</t>
  </si>
  <si>
    <t xml:space="preserve">06_Master consolidates all companies into one comparison grid. It is formula-driven — do not type into it.</t>
  </si>
  <si>
    <t xml:space="preserve">07_Gaps lists exactly what is still missing, company by company.</t>
  </si>
  <si>
    <t xml:space="preserve">C. CRITICAL — STATUS OF THIS DATASET</t>
  </si>
  <si>
    <t xml:space="preserve">The five source files supplied contain the ASSET side of the balance sheet only.</t>
  </si>
  <si>
    <t xml:space="preserve">Missing for every peer: trade payables, revenue, COGS, total equity, net income, interest expense.</t>
  </si>
  <si>
    <t xml:space="preserve">Consequence: no component of CCC can currently be computed. DSO needs revenue; DIO needs COGS; DPO needs both payables and COGS.</t>
  </si>
  <si>
    <t xml:space="preserve">AAA data covers FY2022-FY2024 only. FY2025 column is absent and is needed to align with NHH.</t>
  </si>
  <si>
    <t xml:space="preserve">Asset-side data received is complete and usable — it has been loaded below.</t>
  </si>
  <si>
    <t xml:space="preserve">D. ANALYTICAL NOTE — AAA IS NOT AN INDEPENDENT PEER</t>
  </si>
  <si>
    <t xml:space="preserve">The AAA source file, account code 252 (Investment in associates), names Nhua Ha Noi as an investee.</t>
  </si>
  <si>
    <t xml:space="preserve">AAA therefore holds an equity stake in NHH and consolidates or equity-accounts part of NHH's results.</t>
  </si>
  <si>
    <t xml:space="preserve">Comparing NHH against AAA is partly comparing NHH against itself, and the two are exposed to common group-level</t>
  </si>
  <si>
    <t xml:space="preserve">treasury and procurement policy. Keep AAA in the set if you wish, but label it a RELATED PARTY, not a peer,</t>
  </si>
  <si>
    <t xml:space="preserve">and exclude it from any peer median. This observation is itself a finding worth stating in the report.</t>
  </si>
  <si>
    <t xml:space="preserve">An Phat Bioplastics — AAA</t>
  </si>
  <si>
    <t xml:space="preserve">RELATED PARTY — holds associate stake in NHH. Asset side only.</t>
  </si>
  <si>
    <t xml:space="preserve">METADATA</t>
  </si>
  <si>
    <t xml:space="preserve">Accounting standard</t>
  </si>
  <si>
    <t xml:space="preserve">VAS — Circular 200/2014/TT-BTC</t>
  </si>
  <si>
    <t xml:space="preserve">Source file</t>
  </si>
  <si>
    <t xml:space="preserve">AAA_data.xlsx</t>
  </si>
  <si>
    <t xml:space="preserve">BLOCK 1 — RAW EXTRACT (as reported; do not edit)</t>
  </si>
  <si>
    <t xml:space="preserve">Line item</t>
  </si>
  <si>
    <t xml:space="preserve">FY2022</t>
  </si>
  <si>
    <t xml:space="preserve">FY2023</t>
  </si>
  <si>
    <t xml:space="preserve">FY2024</t>
  </si>
  <si>
    <t xml:space="preserve">Note</t>
  </si>
  <si>
    <t xml:space="preserve">[100] A. TÀI SẢN NGẮN HẠN 5, 6</t>
  </si>
  <si>
    <t xml:space="preserve">Số liệu khớp toán tuyệt đối</t>
  </si>
  <si>
    <t xml:space="preserve">[110] I. Tiền và các khoản tương đương tiền 5, 6</t>
  </si>
  <si>
    <t xml:space="preserve">[111] Tiền 5, 6</t>
  </si>
  <si>
    <t xml:space="preserve">[112] Các khoản tương đương tiền 5, 6</t>
  </si>
  <si>
    <t xml:space="preserve">Tiền gửi ngắn hạn dưới 3 tháng</t>
  </si>
  <si>
    <t xml:space="preserve">[120] II. Đầu tư tài chính ngắn hạn 5, 6</t>
  </si>
  <si>
    <t xml:space="preserve">[123] Đầu tư nắm giữ đến ngày đáo hạn 5, 6</t>
  </si>
  <si>
    <t xml:space="preserve">Tiền gửi ngân hàng có kỳ hạn ngắn</t>
  </si>
  <si>
    <t xml:space="preserve">[130] III. Các khoản phải thu ngắn hạn 5, 6</t>
  </si>
  <si>
    <t xml:space="preserve">[131] Phải thu ngắn hạn của khách hàng 5, 6</t>
  </si>
  <si>
    <t xml:space="preserve">[132] Trả trước cho người bán ngắn hạn 5, 6</t>
  </si>
  <si>
    <t xml:space="preserve">[135] Phải thu về cho vay ngắn hạn 5, 6</t>
  </si>
  <si>
    <t xml:space="preserve">[136] Phải thu ngắn hạn khác 5, 6</t>
  </si>
  <si>
    <t xml:space="preserve">[137] Dự phòng phải thu ngắn hạn khó đòi 5, 6</t>
  </si>
  <si>
    <t xml:space="preserve">[140] IV. Hàng tồn kho 5, 6</t>
  </si>
  <si>
    <t xml:space="preserve">Giá trị thuần sau dự phòng 11, 12</t>
  </si>
  <si>
    <t xml:space="preserve">[141] Hàng tồn kho 5, 6</t>
  </si>
  <si>
    <t xml:space="preserve">Giá gốc hàng tồn kho</t>
  </si>
  <si>
    <t xml:space="preserve">[149] Dự phòng giảm giá hàng tồn kho 5, 6</t>
  </si>
  <si>
    <t xml:space="preserve">[150] V. Tài sản ngắn hạn khác 5, 6</t>
  </si>
  <si>
    <t xml:space="preserve">[151] Chi phí trả trước ngắn hạn 5, 6</t>
  </si>
  <si>
    <t xml:space="preserve">[152] Thuế GTGT được khấu trừ 5, 6</t>
  </si>
  <si>
    <t xml:space="preserve">[153] Thuế và các khoản khác phải thu Nhà nước 5, 6</t>
  </si>
  <si>
    <t xml:space="preserve">[200] B. TÀI SẢN DÀI HẠN 4, 13, 14</t>
  </si>
  <si>
    <t xml:space="preserve">Không đổi cấu trúc báo cáo</t>
  </si>
  <si>
    <t xml:space="preserve">[210] I. Các khoản phải thu dài hạn 4, 13, 14</t>
  </si>
  <si>
    <t xml:space="preserve">[211] Phải thu dài hạn của khách hàng 4</t>
  </si>
  <si>
    <t xml:space="preserve">Chuyển ngắn hạn hoặc đã thu hồi</t>
  </si>
  <si>
    <t xml:space="preserve">[215] Phải thu về cho vay dài hạn 4, 13, 14</t>
  </si>
  <si>
    <t xml:space="preserve">Cho các bên liên quan vay</t>
  </si>
  <si>
    <t xml:space="preserve">[216] Phải thu dài hạn khác 4, 13, 14</t>
  </si>
  <si>
    <t xml:space="preserve">[220] II. Tài sản cố định 4, 13, 14</t>
  </si>
  <si>
    <t xml:space="preserve">[221] Tài sản cố định hữu hình 4, 13, 14</t>
  </si>
  <si>
    <t xml:space="preserve">[222] Nguyên giá 4, 13, 14</t>
  </si>
  <si>
    <t xml:space="preserve">[223] Giá trị hao mòn luỹ kế 4, 13, 14</t>
  </si>
  <si>
    <t xml:space="preserve">[224] Tài sản cố định thuê tài chính 14</t>
  </si>
  <si>
    <t xml:space="preserve">Phát sinh mới trong năm 2024</t>
  </si>
  <si>
    <t xml:space="preserve">[225] Nguyên giá 14</t>
  </si>
  <si>
    <t xml:space="preserve">[226] Giá trị hao mòn luỹ kế 14</t>
  </si>
  <si>
    <t xml:space="preserve">[227] Tài sản cố định vô hình 4, 13, 14</t>
  </si>
  <si>
    <t xml:space="preserve">[228] Nguyên giá 4, 13, 14</t>
  </si>
  <si>
    <t xml:space="preserve">[229] Giá trị hao mòn luỹ kế 4, 13, 14</t>
  </si>
  <si>
    <t xml:space="preserve">[230] III. Bất động sản đầu tư 4, 13, 14</t>
  </si>
  <si>
    <t xml:space="preserve">[231] Nguyên giá 4, 13, 14</t>
  </si>
  <si>
    <t xml:space="preserve">[232] Giá trị hao mòn luỹ kế 4, 13, 14</t>
  </si>
  <si>
    <t xml:space="preserve">[240] IV. Tài sản dở dang dài hạn 4, 13, 14</t>
  </si>
  <si>
    <t xml:space="preserve">[242] Chi phí xây dựng cơ bản dở dang 4, 13, 14</t>
  </si>
  <si>
    <t xml:space="preserve">Tập trung ở DA nhà máy PBAT...</t>
  </si>
  <si>
    <t xml:space="preserve">[250] V. Đầu tư tài chính dài hạn 4, 13, 14</t>
  </si>
  <si>
    <t xml:space="preserve">Giảm mạnh do cơ cấu danh mục</t>
  </si>
  <si>
    <t xml:space="preserve">[252] Đầu tư vào công ty liên kết 4, 13, 14</t>
  </si>
  <si>
    <t xml:space="preserve">Đầu tư vào Nhựa Hà Nội... 15, 16</t>
  </si>
  <si>
    <t xml:space="preserve">[253] Đầu tư vào đơn vị khác 14</t>
  </si>
  <si>
    <t xml:space="preserve">[255] Đầu tư nắm giữ đến ngày đáo hạn 4</t>
  </si>
  <si>
    <t xml:space="preserve">Tiền gửi ngân hàng dài hạn</t>
  </si>
  <si>
    <t xml:space="preserve">[260] VI. Tài sản dài hạn khác 4, 13, 14</t>
  </si>
  <si>
    <t xml:space="preserve">[261] Chi phí trả trước dài hạn 4, 13, 14</t>
  </si>
  <si>
    <t xml:space="preserve">[262] Tài sản thuế thu nhập hoãn lại 4, 13, 14</t>
  </si>
  <si>
    <t xml:space="preserve">[269] Lợi thế thương mại 4, 13, 14</t>
  </si>
  <si>
    <t xml:space="preserve">Do mua thêm cty con trong kỳ</t>
  </si>
  <si>
    <t xml:space="preserve">[270] TỔNG CỘNG TÀI SẢN 4, 13, 14</t>
  </si>
  <si>
    <t xml:space="preserve">Khớp chính xác (100 + 200)</t>
  </si>
  <si>
    <t xml:space="preserve">BLOCK 2 — STANDARDISED FOR CCC ENGINE</t>
  </si>
  <si>
    <t xml:space="preserve">Yellow = still missing, please fill. Green = formula pulled from Block 1 above.</t>
  </si>
  <si>
    <t xml:space="preserve">Standardised line item</t>
  </si>
  <si>
    <t xml:space="preserve">Status</t>
  </si>
  <si>
    <t xml:space="preserve">FY end date (dd/mm/yyyy)</t>
  </si>
  <si>
    <t xml:space="preserve">31/12/2022</t>
  </si>
  <si>
    <t xml:space="preserve">31/12/2023</t>
  </si>
  <si>
    <t xml:space="preserve">31/12/2024</t>
  </si>
  <si>
    <t xml:space="preserve">OK</t>
  </si>
  <si>
    <t xml:space="preserve">INCOME STATEMENT</t>
  </si>
  <si>
    <t xml:space="preserve">Revenue (net)</t>
  </si>
  <si>
    <t xml:space="preserve">MISSING</t>
  </si>
  <si>
    <t xml:space="preserve">COGS (state: as reported / proxy)</t>
  </si>
  <si>
    <t xml:space="preserve">Interest expense</t>
  </si>
  <si>
    <t xml:space="preserve">Net income</t>
  </si>
  <si>
    <t xml:space="preserve">WORKING CAPITAL — BALANCE SHEET</t>
  </si>
  <si>
    <t xml:space="preserve">Trade receivables (net)</t>
  </si>
  <si>
    <t xml:space="preserve">   o/w notes / e-recorded claims</t>
  </si>
  <si>
    <t xml:space="preserve">   o/w allowance (shown negative)</t>
  </si>
  <si>
    <t xml:space="preserve">Inventory — total (net)</t>
  </si>
  <si>
    <t xml:space="preserve">   o/w raw materials</t>
  </si>
  <si>
    <t xml:space="preserve">   o/w work in progress</t>
  </si>
  <si>
    <t xml:space="preserve">   o/w finished goods</t>
  </si>
  <si>
    <t xml:space="preserve">Trade payables</t>
  </si>
  <si>
    <t xml:space="preserve">   o/w notes payable</t>
  </si>
  <si>
    <t xml:space="preserve">Advances from customers</t>
  </si>
  <si>
    <t xml:space="preserve">BALANCE SHEET TOTALS</t>
  </si>
  <si>
    <t xml:space="preserve">Total assets</t>
  </si>
  <si>
    <t xml:space="preserve">Total equity</t>
  </si>
  <si>
    <t xml:space="preserve">NOTES</t>
  </si>
  <si>
    <t xml:space="preserve">RELATED PARTY: account code 252 names Nhua Ha Noi as an associate investee. Exclude AAA from peer medians.</t>
  </si>
  <si>
    <t xml:space="preserve">Trade receivables taken as code 131 (short-term trade receivables) GROSS. Allowance code 137 covers all short-term receivables, not trade only — do not net it off without checking the note.</t>
  </si>
  <si>
    <t xml:space="preserve">Inventory taken as code 140 (net of provision code 149).</t>
  </si>
  <si>
    <t xml:space="preserve">FY2025 column absent from source. Needed to align with NHH FY2023-FY2025.</t>
  </si>
  <si>
    <t xml:space="preserve">Still required: revenue, COGS, trade payables, advances from customers, total equity, net income, interest expense.</t>
  </si>
  <si>
    <t xml:space="preserve">Nhua Tien Phong — NTP</t>
  </si>
  <si>
    <t xml:space="preserve">Domestic peer. Asset side only.</t>
  </si>
  <si>
    <t xml:space="preserve">NTP_data.xlsx</t>
  </si>
  <si>
    <t xml:space="preserve">FY2025</t>
  </si>
  <si>
    <t xml:space="preserve">[100] A. TÀI SẢN NGẮN HẠN</t>
  </si>
  <si>
    <t xml:space="preserve">Khớp toán tuyệt đối</t>
  </si>
  <si>
    <t xml:space="preserve">[110] I. Tiền và các khoản tương đương tiền</t>
  </si>
  <si>
    <t xml:space="preserve">[111] Tiền</t>
  </si>
  <si>
    <t xml:space="preserve">[112] Các khoản tương đương tiền</t>
  </si>
  <si>
    <t xml:space="preserve">Tiền gửi không quá 3 tháng 13, 14</t>
  </si>
  <si>
    <t xml:space="preserve">[120] II. Đầu tư tài chính ngắn hạn</t>
  </si>
  <si>
    <t xml:space="preserve">[123] Đầu tư nắm giữ đến ngày đáo hạn</t>
  </si>
  <si>
    <t xml:space="preserve">Tiền gửi có kỳ hạn ngắn hạn 15-18</t>
  </si>
  <si>
    <t xml:space="preserve">[130] III. Các khoản phải thu ngắn hạn</t>
  </si>
  <si>
    <t xml:space="preserve">Khớp toán tổng cấu phần</t>
  </si>
  <si>
    <t xml:space="preserve">[131] Phải thu ngắn hạn của khách hàng</t>
  </si>
  <si>
    <t xml:space="preserve">Chi tiết đối tác xem thuyết minh 2, 5, 19, 20</t>
  </si>
  <si>
    <t xml:space="preserve">[132] Trả trước cho người bán ngắn hạn</t>
  </si>
  <si>
    <t xml:space="preserve">[135] Phải thu về cho vay ngắn hạn</t>
  </si>
  <si>
    <t xml:space="preserve">[136] Phải thu ngắn hạn khác</t>
  </si>
  <si>
    <t xml:space="preserve">Phải thu lãi, tạm ứng, đặt cọc... 21-24</t>
  </si>
  <si>
    <t xml:space="preserve">[137] Dự phòng phải thu ngắn hạn khó đòi</t>
  </si>
  <si>
    <t xml:space="preserve">Chi tiết nợ xấu xem thuyết minh 8, 25-27</t>
  </si>
  <si>
    <t xml:space="preserve">[139] Tài sản thiếu chờ xử lý</t>
  </si>
  <si>
    <t xml:space="preserve">Khoản chênh lệch nhỏ phát sinh FY23</t>
  </si>
  <si>
    <t xml:space="preserve">[140] IV. Hàng tồn kho</t>
  </si>
  <si>
    <t xml:space="preserve">Sử dụng giá ròng (Net) 28</t>
  </si>
  <si>
    <t xml:space="preserve">[141] Hàng tồn kho</t>
  </si>
  <si>
    <t xml:space="preserve">Giá gốc hàng tồn kho 29-32</t>
  </si>
  <si>
    <t xml:space="preserve">[149] Dự phòng giảm giá hàng tồn kho</t>
  </si>
  <si>
    <t xml:space="preserve">Hoàn nhập toàn bộ trong năm 2023</t>
  </si>
  <si>
    <t xml:space="preserve">[150] V. Tài sản ngắn hạn khác</t>
  </si>
  <si>
    <t xml:space="preserve">[151] Chi phí trả trước ngắn hạn</t>
  </si>
  <si>
    <t xml:space="preserve">99, 14a, 83</t>
  </si>
  <si>
    <t xml:space="preserve">[152] Thuế GTGT được khấu trừ</t>
  </si>
  <si>
    <t xml:space="preserve">[153] Thuế và các khoản khác phải thu Nhà nước</t>
  </si>
  <si>
    <t xml:space="preserve">22, 33-35</t>
  </si>
  <si>
    <t xml:space="preserve">[200] B. TÀI SẢN DÀI HẠN</t>
  </si>
  <si>
    <t xml:space="preserve">[210] I. Các khoản phải thu dài hạn</t>
  </si>
  <si>
    <t xml:space="preserve">Phát sinh mới trong năm 2025</t>
  </si>
  <si>
    <t xml:space="preserve">[211] Phải thu dài hạn của khách hàng</t>
  </si>
  <si>
    <t xml:space="preserve">[220] II. Tài sản cố định</t>
  </si>
  <si>
    <t xml:space="preserve">[221] Tài sản cố định hữu hình</t>
  </si>
  <si>
    <t xml:space="preserve">36-39</t>
  </si>
  <si>
    <t xml:space="preserve">[222] Nguyên giá</t>
  </si>
  <si>
    <t xml:space="preserve">[223] Giá trị hao mòn luỹ kế</t>
  </si>
  <si>
    <t xml:space="preserve">[227] Tài sản cố định vô hình</t>
  </si>
  <si>
    <t xml:space="preserve">Khấu hao hết trong năm 2025</t>
  </si>
  <si>
    <t xml:space="preserve">[228] Nguyên giá</t>
  </si>
  <si>
    <t xml:space="preserve">Quyền sử dụng đất &amp; PM máy tính 31, 40, 41</t>
  </si>
  <si>
    <t xml:space="preserve">[229] Giá trị hao mòn luỹ kế</t>
  </si>
  <si>
    <t xml:space="preserve">[240] III. Tài sản dở dang dài hạn</t>
  </si>
  <si>
    <t xml:space="preserve">[242] Chi phí xây dựng cơ bản dở dang</t>
  </si>
  <si>
    <t xml:space="preserve">DA máy móc, xưởng chế tạo... 41-44</t>
  </si>
  <si>
    <t xml:space="preserve">[250] IV. Đầu tư tài chính dài hạn</t>
  </si>
  <si>
    <t xml:space="preserve">[252] Đầu tư vào công ty liên kết</t>
  </si>
  <si>
    <t xml:space="preserve">Nhựa Tiền Phong phía Nam &amp; Bao bì TP 3, 12, 45, 46</t>
  </si>
  <si>
    <t xml:space="preserve">[253] Đầu tư góp vốn vào đơn vị khác</t>
  </si>
  <si>
    <t xml:space="preserve">Gồm các đơn vị Cấp nước &amp; Thủy điện 11, 45, 47</t>
  </si>
  <si>
    <t xml:space="preserve">[254] Dự phòng đầu tư tài chính dài hạn</t>
  </si>
  <si>
    <t xml:space="preserve">[255] Đầu tư nắm giữ đến ngày đáo hạn</t>
  </si>
  <si>
    <t xml:space="preserve">Tiền gửi dài hạn / Trái phiếu</t>
  </si>
  <si>
    <t xml:space="preserve">[260] V. Tài sản dài hạn khác</t>
  </si>
  <si>
    <t xml:space="preserve">[261] Chi phí trả trước dài hạn</t>
  </si>
  <si>
    <t xml:space="preserve">Chi phí trả trước, đất thuê dài hạn 42, 43, 47, 48</t>
  </si>
  <si>
    <t xml:space="preserve">[262] Tài sản thuế thu nhập hoãn lại</t>
  </si>
  <si>
    <t xml:space="preserve">22, 49, 50</t>
  </si>
  <si>
    <t xml:space="preserve">[270] TỔNG CỘNG TÀI SẢN</t>
  </si>
  <si>
    <t xml:space="preserve">Tổng tài sản khớp toán (100 + 200)</t>
  </si>
  <si>
    <t xml:space="preserve">31/12/2025</t>
  </si>
  <si>
    <t xml:space="preserve">Trade receivables taken as code 131 GROSS. Allowance code 137 covers all short-term receivables — check the note before netting.</t>
  </si>
  <si>
    <t xml:space="preserve">Business model differs from NHH: pipes sold through distribution, not OEM contract manufacturing. Expect structurally different DSO and DPO — treat as a contextual comparator, not a like-for-like peer.</t>
  </si>
  <si>
    <t xml:space="preserve">SKP Resources Bhd — SKP</t>
  </si>
  <si>
    <t xml:space="preserve">Closest structural peer — OEM contract manufacturer, high customer concentration. Asset side only.</t>
  </si>
  <si>
    <t xml:space="preserve">MFRS (IFRS-aligned)</t>
  </si>
  <si>
    <t xml:space="preserve">SKP_data.xlsx</t>
  </si>
  <si>
    <t xml:space="preserve">Kỳ tài chính kết thúc ngày 31 tháng 3 6</t>
  </si>
  <si>
    <t xml:space="preserve">A. NON-CURRENT ASSETS (TÀI SẢN DÀI HẠN)</t>
  </si>
  <si>
    <t xml:space="preserve">Khớp số tổng báo cáo gốc 3-5, 15</t>
  </si>
  <si>
    <t xml:space="preserve">[Note 16] Property, plant and equipment (TSCĐ hữu hình)</t>
  </si>
  <si>
    <t xml:space="preserve">Bao gồm chi phí xây dựng cơ bản dở dang 19, 20</t>
  </si>
  <si>
    <t xml:space="preserve">[Note 17] Investment properties (Bất động sản đầu tư)</t>
  </si>
  <si>
    <t xml:space="preserve">Nhà xưởng cho thuê 21, 22</t>
  </si>
  <si>
    <t xml:space="preserve">[Note 18] Right-of-use assets (Quyền sử dụng tài sản)</t>
  </si>
  <si>
    <t xml:space="preserve">Tài sản thuê tài chính theo MFRS 16 22, 23</t>
  </si>
  <si>
    <t xml:space="preserve">[Note 20] Other investments (Đầu tư tài chính dài hạn)</t>
  </si>
  <si>
    <t xml:space="preserve">Tiền gửi cố định dài hạn có kỳ hạn 24, 25</t>
  </si>
  <si>
    <t xml:space="preserve">[Note 21] Other non-current asset (Tài sản dài hạn khác)</t>
  </si>
  <si>
    <t xml:space="preserve">Thẻ thành viên sân Golf (Golf club membership) 12, 26</t>
  </si>
  <si>
    <t xml:space="preserve">[Note 24/25] Prepayments (Chi phí trả trước dài hạn)</t>
  </si>
  <si>
    <t xml:space="preserve">Trả trước mua máy móc thiết bị nhà xưởng 27, 28</t>
  </si>
  <si>
    <t xml:space="preserve">B. CURRENT ASSETS (TÀI SẢN NGẮN HẠN)</t>
  </si>
  <si>
    <t xml:space="preserve">[Note 21/22] Inventories (Hàng tồn kho - ròng)</t>
  </si>
  <si>
    <t xml:space="preserve">Sử dụng giá ròng sau trừ dự phòng giảm giá 12-14</t>
  </si>
  <si>
    <t xml:space="preserve">[Note 23/24] Trade and other receivables (Phải thu thương mại &amp; khác)</t>
  </si>
  <si>
    <t xml:space="preserve">Chi tiết cấu phần thô xem dòng dưới 29, 30</t>
  </si>
  <si>
    <t xml:space="preserve">Trong đó: Phải thu từ khách hàng thô (Gross)</t>
  </si>
  <si>
    <t xml:space="preserve">Phải thu thương mại bên thứ ba (Note 22/23) 10, 11</t>
  </si>
  <si>
    <t xml:space="preserve">Trong đó: Dự phòng nợ phải thu khó đòi</t>
  </si>
  <si>
    <t xml:space="preserve">Tỷ lệ nợ khó đòi/Doanh thu rất thấp 10, 11</t>
  </si>
  <si>
    <t xml:space="preserve">Tax recoverable (Thuế có thể thu hồi)</t>
  </si>
  <si>
    <t xml:space="preserve">Phát sinh ngắn hạn 4</t>
  </si>
  <si>
    <t xml:space="preserve">[Note 23/24] Contract assets (Tài sản hợp đồng)</t>
  </si>
  <si>
    <t xml:space="preserve">Doanh thu dồn tích chưa xuất hóa đơn (khuôn mẫu) 31, 32</t>
  </si>
  <si>
    <t xml:space="preserve">[Note 24/25] Prepayments (Chi phí trả trước ngắn hạn)</t>
  </si>
  <si>
    <t xml:space="preserve">Chi phí hoạt động trả trước 27, 28</t>
  </si>
  <si>
    <t xml:space="preserve">[Note 20/25] Other investments (Đầu tư ngắn hạn khác)</t>
  </si>
  <si>
    <t xml:space="preserve">Quỹ quản lý tiền mặt (Cash management fund) &amp; FD 24, 27</t>
  </si>
  <si>
    <t xml:space="preserve">[Note 26/27] Cash and bank balances (Tiền &amp; các khoản tương đương)</t>
  </si>
  <si>
    <t xml:space="preserve">Tiền gửi ngân hàng thanh toán/kỳ hạn dưới 3 tháng 30, 33</t>
  </si>
  <si>
    <t xml:space="preserve">TỔNG CỘNG TÀI SẢN (TOTAL ASSETS)</t>
  </si>
  <si>
    <t xml:space="preserve">Khớp toán hoàn hảo (A + B) 3-5, 15</t>
  </si>
  <si>
    <t xml:space="preserve">31/03/2022</t>
  </si>
  <si>
    <t xml:space="preserve">31/03/2023</t>
  </si>
  <si>
    <t xml:space="preserve">31/03/2024</t>
  </si>
  <si>
    <t xml:space="preserve">31/03/2025</t>
  </si>
  <si>
    <t xml:space="preserve">FY ends 31/03. SKP "FY2025" (to 31/03/2025) overlaps mostly with NHH calendar 2024. State this explicitly in the report methodology.</t>
  </si>
  <si>
    <t xml:space="preserve">Trade receivables computed as gross trade receivables less allowance. The reported "Trade and other receivables" line also contains non-trade items and must NOT be used for DSO.</t>
  </si>
  <si>
    <t xml:space="preserve">Contract assets are disclosed separately and relate to tooling. Consider whether to include them in receivables — NHH has an analogous exposure through customer advances on moulds.</t>
  </si>
  <si>
    <t xml:space="preserve">Inventory is reported net of provision.</t>
  </si>
  <si>
    <t xml:space="preserve">Sanko Gosei Ltd — 7888</t>
  </si>
  <si>
    <t xml:space="preserve">Automotive plastics supplier in the Honda/Toyota chain. Asset side only.</t>
  </si>
  <si>
    <t xml:space="preserve">Tokyo Stock Exchange</t>
  </si>
  <si>
    <t xml:space="preserve">JGAAP</t>
  </si>
  <si>
    <t xml:space="preserve">Sanko_data.xlsx</t>
  </si>
  <si>
    <t xml:space="preserve">A. CURRENT ASSETS (TÀI SẢN NGẮN HẠN)</t>
  </si>
  <si>
    <t xml:space="preserve">Khớp chính xác báo cáo gốc 9-11, 16</t>
  </si>
  <si>
    <t xml:space="preserve">Cash and deposits (Tiền và tiền gửi)</t>
  </si>
  <si>
    <t xml:space="preserve">Bao gồm tiền mặt và tiền gửi ngân hàng 9-11, 16</t>
  </si>
  <si>
    <t xml:space="preserve">Notes receivable - trade (Phải thu bằng hối phiếu)</t>
  </si>
  <si>
    <t xml:space="preserve">Chi tiết hối phiếu khách hàng trả 9-11</t>
  </si>
  <si>
    <t xml:space="preserve">Electronically recorded monetary claims - operating</t>
  </si>
  <si>
    <t xml:space="preserve">Quyền đòi nợ điện tử (cộng chung vào AR) 9-11</t>
  </si>
  <si>
    <t xml:space="preserve">Accounts receivable - trade (Phải thu khách hàng)</t>
  </si>
  <si>
    <t xml:space="preserve">Phải thu thương mại thông thường 9-11</t>
  </si>
  <si>
    <t xml:space="preserve">Merchandise and finished goods (Hàng hóa và thành phẩm)</t>
  </si>
  <si>
    <t xml:space="preserve">Phân rã chi tiết hàng tồn kho 9-11, 16</t>
  </si>
  <si>
    <t xml:space="preserve">Work in process (Chi phí SXKD dở dang)</t>
  </si>
  <si>
    <t xml:space="preserve">9-11, 16</t>
  </si>
  <si>
    <t xml:space="preserve">Raw materials and supplies (Nguyên liệu và công cụ)</t>
  </si>
  <si>
    <t xml:space="preserve">Other current assets (Tài sản ngắn hạn khác)</t>
  </si>
  <si>
    <t xml:space="preserve">Allowance for doubtful accounts (Dự phòng nợ ngắn hạn)</t>
  </si>
  <si>
    <t xml:space="preserve">Năm 2023-2025 được cấn trừ trực tiếp 9, 16</t>
  </si>
  <si>
    <t xml:space="preserve">B. NON-CURRENT ASSETS (TÀI SẢN DÀI HẠN)</t>
  </si>
  <si>
    <t xml:space="preserve">FY24 hồi tố tăng 433 triệu JPY 11, 13, 17, 18</t>
  </si>
  <si>
    <t xml:space="preserve">I. Property, plant and equipment (Tài sản hữu hình - ròng)</t>
  </si>
  <si>
    <t xml:space="preserve">FY24 hồi tố tăng 39 triệu JPY 11, 12, 17, 19</t>
  </si>
  <si>
    <t xml:space="preserve">Buildings and structures, net</t>
  </si>
  <si>
    <t xml:space="preserve">Nhà xưởng và kiến trúc ròng 11, 12, 16, 19</t>
  </si>
  <si>
    <t xml:space="preserve">Machinery, equipment and vehicles, net</t>
  </si>
  <si>
    <t xml:space="preserve">Thiết bị cơ khí và phương tiện ròng 11, 12, 17, 19</t>
  </si>
  <si>
    <t xml:space="preserve">Tools, furniture and fixtures, net</t>
  </si>
  <si>
    <t xml:space="preserve">Công cụ dụng cụ văn phòng ròng 11, 12, 17, 19</t>
  </si>
  <si>
    <t xml:space="preserve">Land</t>
  </si>
  <si>
    <t xml:space="preserve">Quyền sử dụng đất 11, 12, 17, 19</t>
  </si>
  <si>
    <t xml:space="preserve">Construction in progress</t>
  </si>
  <si>
    <t xml:space="preserve">Chi phí XDCB dở dang 11, 12, 17, 19</t>
  </si>
  <si>
    <t xml:space="preserve">II. Intangible assets (Tài sản vô hình)</t>
  </si>
  <si>
    <t xml:space="preserve">11, 13, 17, 18</t>
  </si>
  <si>
    <t xml:space="preserve">Goodwill (Lợi thế thương mại)</t>
  </si>
  <si>
    <t xml:space="preserve">Phân bổ đều qua các kỳ 11, 13, 17, 18</t>
  </si>
  <si>
    <t xml:space="preserve">Other intangible assets (Tài sản vô hình khác)</t>
  </si>
  <si>
    <t xml:space="preserve">III. Investments and other assets (Tài sản dài hạn khác)</t>
  </si>
  <si>
    <t xml:space="preserve">FY24 hồi tố tăng 395 triệu JPY 11, 13, 17, 18</t>
  </si>
  <si>
    <t xml:space="preserve">Investment securities (Chứng khoán đầu tư)</t>
  </si>
  <si>
    <t xml:space="preserve">Deferred tax assets (Tài sản thuế hoãn lại)</t>
  </si>
  <si>
    <t xml:space="preserve">Retirement benefit asset (Tài sản quỹ hưu trí)</t>
  </si>
  <si>
    <t xml:space="preserve">FY24 hồi tố tăng từ 235 lên 630 11, 13</t>
  </si>
  <si>
    <t xml:space="preserve">Other non-current assets</t>
  </si>
  <si>
    <t xml:space="preserve">FY24 hồi tố tăng từ 74.497 lên 74.930 11, 13, 18, 20</t>
  </si>
  <si>
    <t xml:space="preserve">Trade receivables = notes receivable + electronically recorded monetary claims + accounts receivable, per the guidance note. Using accounts receivable alone would understate DSO materially.</t>
  </si>
  <si>
    <t xml:space="preserve">Notes and e-recorded claims are shown separately so the report can quantify how much of DSO is settled by note rather than open account — a structural feature absent in Vietnam.</t>
  </si>
  <si>
    <t xml:space="preserve">Inventory built up from the three disclosed components (finished goods, WIP, raw materials). This is the only peer with the same three-tier split as NHH, so it supports a like-for-like DIO decomposition.</t>
  </si>
  <si>
    <t xml:space="preserve">FY end date not stated in the source file — confirm (likely 31/03) and enter it in the standardised block.</t>
  </si>
  <si>
    <t xml:space="preserve">FY2024 figures were retrospectively restated in the source. The restated figures have been used.</t>
  </si>
  <si>
    <t xml:space="preserve">Still required: revenue, COGS, trade payables (including notes payable), advances from customers, total equity, net income, interest expense.</t>
  </si>
  <si>
    <t xml:space="preserve">Nolato AB — NOLA-B</t>
  </si>
  <si>
    <t xml:space="preserve">Global polymer contract manufacturer — best-practice benchmark. Asset side only.</t>
  </si>
  <si>
    <t xml:space="preserve">IFRS</t>
  </si>
  <si>
    <t xml:space="preserve">Nolato_data.xlsx</t>
  </si>
  <si>
    <t xml:space="preserve">Khớp toán tuyệt đối 5, 8, 9</t>
  </si>
  <si>
    <t xml:space="preserve">[Note 11] I. Non-current intangible assets (Tài sản vô hình)</t>
  </si>
  <si>
    <t xml:space="preserve">Thuyết minh 11 5, 8, 9</t>
  </si>
  <si>
    <t xml:space="preserve">1. Goodwill (Lợi thế thương mại)</t>
  </si>
  <si>
    <t xml:space="preserve">Phân bổ theo phân khúc 10-12</t>
  </si>
  <si>
    <t xml:space="preserve">2. Customer relationships (Quan hệ khách hàng)</t>
  </si>
  <si>
    <t xml:space="preserve">Khấu hao từ các thương vụ M&amp;A 2, 10, 11</t>
  </si>
  <si>
    <t xml:space="preserve">3. Software (Phần mềm)</t>
  </si>
  <si>
    <t xml:space="preserve">2, 10, 11</t>
  </si>
  <si>
    <t xml:space="preserve">4. Tenancy rights (Quyền thuê vô hình)</t>
  </si>
  <si>
    <t xml:space="preserve">[Note 12] II. Property, plant and equipment (TSCĐ hữu hình)</t>
  </si>
  <si>
    <t xml:space="preserve">Nhà xưởng, máy móc (TM 12) 5, 8, 9</t>
  </si>
  <si>
    <t xml:space="preserve">[Note 13] III. Rights of use (Quyền sử dụng tài sản)</t>
  </si>
  <si>
    <t xml:space="preserve">Tài sản thuê tài chính theo IFRS 16 5, 8, 9</t>
  </si>
  <si>
    <t xml:space="preserve">[Note 14] IV. Non-current financial assets (TS tài chính dài hạn)</t>
  </si>
  <si>
    <t xml:space="preserve">CP tại Arenabolaget i Ängelholm AB 3, 13, 14</t>
  </si>
  <si>
    <t xml:space="preserve">V. Other non-current receivables (Phải thu dài hạn khác)</t>
  </si>
  <si>
    <t xml:space="preserve">5, 8, 9</t>
  </si>
  <si>
    <t xml:space="preserve">[Note 9] VI. Deferred tax assets (Tài sản thuế hoãn lại)</t>
  </si>
  <si>
    <t xml:space="preserve">Biến động do chênh lệch tạm thời 5, 8, 9</t>
  </si>
  <si>
    <t xml:space="preserve">[Note 15] I. Inventories (Hàng tồn kho)</t>
  </si>
  <si>
    <t xml:space="preserve">Giá gốc trừ dự phòng giảm giá 5, 8, 9</t>
  </si>
  <si>
    <t xml:space="preserve">[Note 14] II. Trade receivables (Phải thu thương mại)</t>
  </si>
  <si>
    <t xml:space="preserve">Sau dự phòng giảm giá 5, 8, 9</t>
  </si>
  <si>
    <t xml:space="preserve">1. Phải thu thương mại thô (Gross)</t>
  </si>
  <si>
    <t xml:space="preserve">15-17</t>
  </si>
  <si>
    <t xml:space="preserve">2. Dự phòng nợ phải thu khó đòi</t>
  </si>
  <si>
    <t xml:space="preserve">[Note 9] III. Current tax assets (Tài sản thuế hiện hành)</t>
  </si>
  <si>
    <t xml:space="preserve">5, 18, 19</t>
  </si>
  <si>
    <t xml:space="preserve">[Note 16] IV. Other current assets (Tài sản ngắn hạn khác)</t>
  </si>
  <si>
    <t xml:space="preserve">Thuyết minh 16 5, 18, 19</t>
  </si>
  <si>
    <t xml:space="preserve">1. Other receivables (Phải thu khác)</t>
  </si>
  <si>
    <t xml:space="preserve">4, 20, 21</t>
  </si>
  <si>
    <t xml:space="preserve">2. Prepaid expenses (Chi phí trả trước ngắn hạn)</t>
  </si>
  <si>
    <t xml:space="preserve">3. Accrued income (Doanh thu dồn tích)</t>
  </si>
  <si>
    <t xml:space="preserve">4. Contract assets (Tài sản hợp đồng)</t>
  </si>
  <si>
    <t xml:space="preserve">TS hợp đồng từ phát triển khuôn 4, 20, 21</t>
  </si>
  <si>
    <t xml:space="preserve">[Note 14] V. Other current financial assets (TS tài chính ngắn hạn)</t>
  </si>
  <si>
    <t xml:space="preserve">Công cụ phái sinh phòng ngừa rủi ro 5, 18, 19</t>
  </si>
  <si>
    <t xml:space="preserve">[Note 14] VI. Cash and cash equivalents (Tiền &amp; tương đương tiền)</t>
  </si>
  <si>
    <t xml:space="preserve">Tổng cộng cân đối (A + B) 6, 18, 19</t>
  </si>
  <si>
    <t xml:space="preserve">Trade receivables are reported net of allowance; the gross figure and the allowance are both disclosed and carried above.</t>
  </si>
  <si>
    <t xml:space="preserve">Contract assets are reported separately under other current assets and relate to tooling development — directly analogous to NHH mould work. Decide once whether tooling contract assets sit inside or outside the receivables definition, and apply that choice to SKP and NHH identically.</t>
  </si>
  <si>
    <t xml:space="preserve">IFRS 16 right-of-use assets sit in non-current assets and do not affect CCC.</t>
  </si>
  <si>
    <t xml:space="preserve">Nolato reports the income statement by function in some years and by nature in others — check before extracting COGS. If no COGS line exists, derive a proxy and record the formula used.</t>
  </si>
  <si>
    <t xml:space="preserve">MASTER — STANDARDISED PEER GRID</t>
  </si>
  <si>
    <t xml:space="preserve">Formula-driven. Do not type here. Figures are in each company's own reporting currency and units — see 00_Guide.</t>
  </si>
  <si>
    <t xml:space="preserve">Select fiscal year to display</t>
  </si>
  <si>
    <t xml:space="preserve">&lt;- driver cell; the grid below is fixed to FY2024 for now</t>
  </si>
  <si>
    <t xml:space="preserve">Sanko</t>
  </si>
  <si>
    <t xml:space="preserve">Nolato</t>
  </si>
  <si>
    <t xml:space="preserve">NHH column is left blank deliberately — the subject company is held in the main model (01_Inputs) and will be linked when the two files are merged.</t>
  </si>
  <si>
    <t xml:space="preserve">Blank cells below a green formula mean the underlying standardised cell on that company sheet is still empty.</t>
  </si>
  <si>
    <t xml:space="preserve">Currencies are NOT comparable across columns. This grid exists to check completeness, not to compare magnitudes. Ratio comparison happens in the main model.</t>
  </si>
  <si>
    <t xml:space="preserve">GAP REGISTER — WHAT IS STILL NEEDED</t>
  </si>
  <si>
    <t xml:space="preserve">Work through this list; every item blocks part of the CCC calculation.</t>
  </si>
  <si>
    <t xml:space="preserve">Missing item</t>
  </si>
  <si>
    <t xml:space="preserve">Blocks</t>
  </si>
  <si>
    <t xml:space="preserve">Revenue (net), FY2023-FY2025</t>
  </si>
  <si>
    <t xml:space="preserve">DSO — no denominator</t>
  </si>
  <si>
    <t xml:space="preserve">COGS or a stated proxy, FY2023-FY2025</t>
  </si>
  <si>
    <t xml:space="preserve">DIO and DPO — no denominator</t>
  </si>
  <si>
    <t xml:space="preserve">Trade payables, FY2022-FY2025</t>
  </si>
  <si>
    <t xml:space="preserve">DPO entirely</t>
  </si>
  <si>
    <t xml:space="preserve">Total equity, FY2023-FY2025</t>
  </si>
  <si>
    <t xml:space="preserve">DuPont / leverage context</t>
  </si>
  <si>
    <t xml:space="preserve">Net income, FY2023-FY2025</t>
  </si>
  <si>
    <t xml:space="preserve">DuPont / return context</t>
  </si>
  <si>
    <t xml:space="preserve">Interest expense, FY2023-FY2025</t>
  </si>
  <si>
    <t xml:space="preserve">Cost-of-capital bridge on released cash</t>
  </si>
  <si>
    <t xml:space="preserve">Advances from customers, FY2023-FY2025</t>
  </si>
  <si>
    <t xml:space="preserve">Adjusted CCC for tooling prepayments</t>
  </si>
  <si>
    <t xml:space="preserve">FY2025 full column (all items)</t>
  </si>
  <si>
    <t xml:space="preserve">Alignment with NHH FY2023-FY2025</t>
  </si>
  <si>
    <t xml:space="preserve">Confirm allowance code 137 split trade vs non-trade</t>
  </si>
  <si>
    <t xml:space="preserve">Receivables netting accuracy</t>
  </si>
  <si>
    <t xml:space="preserve">Decision on treatment of contract assets</t>
  </si>
  <si>
    <t xml:space="preserve">Receivables definition consistency</t>
  </si>
  <si>
    <r>
      <rPr>
        <sz val="10"/>
        <rFont val="Arial"/>
        <family val="0"/>
        <charset val="1"/>
      </rPr>
      <t xml:space="preserve">Notes payable (</t>
    </r>
    <r>
      <rPr>
        <sz val="10"/>
        <rFont val="Noto Sans CJK SC"/>
        <family val="2"/>
      </rPr>
      <t xml:space="preserve">支払手形</t>
    </r>
    <r>
      <rPr>
        <sz val="10"/>
        <rFont val="Arial"/>
        <family val="0"/>
        <charset val="1"/>
      </rPr>
      <t xml:space="preserve">) and e-recorded obligations</t>
    </r>
  </si>
  <si>
    <t xml:space="preserve">DPO — understated if omitted</t>
  </si>
  <si>
    <t xml:space="preserve">FY end date confirmation</t>
  </si>
  <si>
    <t xml:space="preserve">Period alignment disclosure</t>
  </si>
  <si>
    <t xml:space="preserve">Confirm whether P&amp;L is by function or by nature</t>
  </si>
  <si>
    <t xml:space="preserve">COGS definition consistency</t>
  </si>
  <si>
    <t xml:space="preserve">Also needed for NHH itself: FY2022 closing balances for trade receivables, inventory and trade payables, so that FY2023 can be computed on an average-balance basis consistently with FY2024 and FY2025.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</si>
</sst>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EDEDED"/>
      </patternFill>
    </fill>
    <fill>
      <patternFill patternType="solid">
        <fgColor rgb="FFFDF2E9"/>
        <bgColor rgb="FFF2F5FA"/>
      </patternFill>
    </fill>
    <fill>
      <patternFill patternType="solid">
        <fgColor rgb="FFEDEDED"/>
        <bgColor rgb="FFF2F5F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F2E9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6"/>
    <col collapsed="false" customWidth="true" hidden="false" outlineLevel="0" max="7" min="7" style="0" width="52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customFormat="false" ht="15" hidden="false" customHeight="false" outlineLevel="0" collapsed="false">
      <c r="B7" s="5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</row>
    <row r="8" customFormat="false" ht="15" hidden="false" customHeight="false" outlineLevel="0" collapsed="false">
      <c r="B8" s="7" t="s">
        <v>15</v>
      </c>
      <c r="C8" s="8" t="s">
        <v>16</v>
      </c>
      <c r="D8" s="8" t="s">
        <v>17</v>
      </c>
      <c r="E8" s="8" t="s">
        <v>12</v>
      </c>
      <c r="F8" s="8" t="s">
        <v>13</v>
      </c>
      <c r="G8" s="8" t="s">
        <v>18</v>
      </c>
    </row>
    <row r="9" customFormat="false" ht="15" hidden="false" customHeight="false" outlineLevel="0" collapsed="false">
      <c r="B9" s="5" t="s">
        <v>19</v>
      </c>
      <c r="C9" s="6" t="s">
        <v>20</v>
      </c>
      <c r="D9" s="6" t="s">
        <v>11</v>
      </c>
      <c r="E9" s="6" t="s">
        <v>12</v>
      </c>
      <c r="F9" s="6" t="s">
        <v>13</v>
      </c>
      <c r="G9" s="6" t="s">
        <v>21</v>
      </c>
    </row>
    <row r="10" customFormat="false" ht="15" hidden="false" customHeight="false" outlineLevel="0" collapsed="false">
      <c r="B10" s="7" t="s">
        <v>22</v>
      </c>
      <c r="C10" s="8" t="s">
        <v>23</v>
      </c>
      <c r="D10" s="8" t="s">
        <v>24</v>
      </c>
      <c r="E10" s="8" t="s">
        <v>25</v>
      </c>
      <c r="F10" s="8" t="s">
        <v>26</v>
      </c>
      <c r="G10" s="8" t="s">
        <v>27</v>
      </c>
    </row>
    <row r="11" customFormat="false" ht="15" hidden="false" customHeight="false" outlineLevel="0" collapsed="false">
      <c r="B11" s="5" t="s">
        <v>28</v>
      </c>
      <c r="C11" s="6" t="s">
        <v>29</v>
      </c>
      <c r="D11" s="6" t="s">
        <v>30</v>
      </c>
      <c r="E11" s="6" t="s">
        <v>31</v>
      </c>
      <c r="F11" s="6" t="s">
        <v>32</v>
      </c>
      <c r="G11" s="6" t="s">
        <v>33</v>
      </c>
    </row>
    <row r="12" customFormat="false" ht="15" hidden="false" customHeight="false" outlineLevel="0" collapsed="false">
      <c r="B12" s="7" t="s">
        <v>34</v>
      </c>
      <c r="C12" s="8" t="s">
        <v>35</v>
      </c>
      <c r="D12" s="8" t="s">
        <v>36</v>
      </c>
      <c r="E12" s="8" t="s">
        <v>37</v>
      </c>
      <c r="F12" s="8" t="s">
        <v>38</v>
      </c>
      <c r="G12" s="8" t="s">
        <v>39</v>
      </c>
    </row>
    <row r="14" customFormat="false" ht="15" hidden="false" customHeight="false" outlineLevel="0" collapsed="false">
      <c r="B14" s="3" t="s">
        <v>40</v>
      </c>
    </row>
    <row r="15" customFormat="false" ht="15" hidden="false" customHeight="false" outlineLevel="0" collapsed="false">
      <c r="B15" s="9" t="s">
        <v>41</v>
      </c>
      <c r="C15" s="9"/>
      <c r="D15" s="9"/>
      <c r="E15" s="9"/>
      <c r="F15" s="9"/>
      <c r="G15" s="9"/>
    </row>
    <row r="16" customFormat="false" ht="15" hidden="false" customHeight="false" outlineLevel="0" collapsed="false">
      <c r="B16" s="9" t="s">
        <v>42</v>
      </c>
      <c r="C16" s="9"/>
      <c r="D16" s="9"/>
      <c r="E16" s="9"/>
      <c r="F16" s="9"/>
      <c r="G16" s="9"/>
    </row>
    <row r="17" customFormat="false" ht="15" hidden="false" customHeight="false" outlineLevel="0" collapsed="false">
      <c r="B17" s="9" t="s">
        <v>43</v>
      </c>
      <c r="C17" s="9"/>
      <c r="D17" s="9"/>
      <c r="E17" s="9"/>
      <c r="F17" s="9"/>
      <c r="G17" s="9"/>
    </row>
    <row r="18" customFormat="false" ht="15" hidden="false" customHeight="false" outlineLevel="0" collapsed="false">
      <c r="B18" s="9" t="s">
        <v>44</v>
      </c>
      <c r="C18" s="9"/>
      <c r="D18" s="9"/>
      <c r="E18" s="9"/>
      <c r="F18" s="9"/>
      <c r="G18" s="9"/>
    </row>
    <row r="19" customFormat="false" ht="15" hidden="false" customHeight="false" outlineLevel="0" collapsed="false">
      <c r="B19" s="9" t="s">
        <v>45</v>
      </c>
      <c r="C19" s="9"/>
      <c r="D19" s="9"/>
      <c r="E19" s="9"/>
      <c r="F19" s="9"/>
      <c r="G19" s="9"/>
    </row>
    <row r="20" customFormat="false" ht="15" hidden="false" customHeight="false" outlineLevel="0" collapsed="false">
      <c r="B20" s="9" t="s">
        <v>46</v>
      </c>
      <c r="C20" s="9"/>
      <c r="D20" s="9"/>
      <c r="E20" s="9"/>
      <c r="F20" s="9"/>
      <c r="G20" s="9"/>
    </row>
    <row r="21" customFormat="false" ht="15" hidden="false" customHeight="false" outlineLevel="0" collapsed="false">
      <c r="B21" s="9" t="s">
        <v>47</v>
      </c>
      <c r="C21" s="9"/>
      <c r="D21" s="9"/>
      <c r="E21" s="9"/>
      <c r="F21" s="9"/>
      <c r="G21" s="9"/>
    </row>
    <row r="22" customFormat="false" ht="15" hidden="false" customHeight="false" outlineLevel="0" collapsed="false">
      <c r="B22" s="9" t="s">
        <v>48</v>
      </c>
      <c r="C22" s="9"/>
      <c r="D22" s="9"/>
      <c r="E22" s="9"/>
      <c r="F22" s="9"/>
      <c r="G22" s="9"/>
    </row>
    <row r="24" customFormat="false" ht="15" hidden="false" customHeight="false" outlineLevel="0" collapsed="false">
      <c r="B24" s="3" t="s">
        <v>49</v>
      </c>
    </row>
    <row r="25" customFormat="false" ht="15" hidden="false" customHeight="false" outlineLevel="0" collapsed="false">
      <c r="B25" s="10" t="s">
        <v>50</v>
      </c>
      <c r="C25" s="10"/>
      <c r="D25" s="10"/>
      <c r="E25" s="10"/>
      <c r="F25" s="10"/>
      <c r="G25" s="10"/>
    </row>
    <row r="26" customFormat="false" ht="15" hidden="false" customHeight="false" outlineLevel="0" collapsed="false">
      <c r="B26" s="10" t="s">
        <v>51</v>
      </c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0" t="s">
        <v>52</v>
      </c>
      <c r="C27" s="10"/>
      <c r="D27" s="10"/>
      <c r="E27" s="10"/>
      <c r="F27" s="10"/>
      <c r="G27" s="10"/>
    </row>
    <row r="28" customFormat="false" ht="15" hidden="false" customHeight="false" outlineLevel="0" collapsed="false">
      <c r="B28" s="10" t="s">
        <v>53</v>
      </c>
      <c r="C28" s="10"/>
      <c r="D28" s="10"/>
      <c r="E28" s="10"/>
      <c r="F28" s="10"/>
      <c r="G28" s="10"/>
    </row>
    <row r="29" customFormat="false" ht="15" hidden="false" customHeight="false" outlineLevel="0" collapsed="false">
      <c r="B29" s="11" t="s">
        <v>54</v>
      </c>
      <c r="C29" s="11"/>
      <c r="D29" s="11"/>
      <c r="E29" s="11"/>
      <c r="F29" s="11"/>
      <c r="G29" s="11"/>
    </row>
    <row r="31" customFormat="false" ht="15" hidden="false" customHeight="false" outlineLevel="0" collapsed="false">
      <c r="B31" s="3" t="s">
        <v>55</v>
      </c>
    </row>
    <row r="32" customFormat="false" ht="15" hidden="false" customHeight="false" outlineLevel="0" collapsed="false">
      <c r="B32" s="9" t="s">
        <v>56</v>
      </c>
      <c r="C32" s="9"/>
      <c r="D32" s="9"/>
      <c r="E32" s="9"/>
      <c r="F32" s="9"/>
      <c r="G32" s="9"/>
    </row>
    <row r="33" customFormat="false" ht="15" hidden="false" customHeight="false" outlineLevel="0" collapsed="false">
      <c r="B33" s="9" t="s">
        <v>57</v>
      </c>
      <c r="C33" s="9"/>
      <c r="D33" s="9"/>
      <c r="E33" s="9"/>
      <c r="F33" s="9"/>
      <c r="G33" s="9"/>
    </row>
    <row r="34" customFormat="false" ht="15" hidden="false" customHeight="false" outlineLevel="0" collapsed="false">
      <c r="B34" s="9" t="s">
        <v>58</v>
      </c>
      <c r="C34" s="9"/>
      <c r="D34" s="9"/>
      <c r="E34" s="9"/>
      <c r="F34" s="9"/>
      <c r="G34" s="9"/>
    </row>
    <row r="35" customFormat="false" ht="15" hidden="false" customHeight="false" outlineLevel="0" collapsed="false">
      <c r="B35" s="9" t="s">
        <v>59</v>
      </c>
      <c r="C35" s="9"/>
      <c r="D35" s="9"/>
      <c r="E35" s="9"/>
      <c r="F35" s="9"/>
      <c r="G35" s="9"/>
    </row>
    <row r="36" customFormat="false" ht="15" hidden="false" customHeight="false" outlineLevel="0" collapsed="false">
      <c r="B36" s="9" t="s">
        <v>60</v>
      </c>
      <c r="C36" s="9"/>
      <c r="D36" s="9"/>
      <c r="E36" s="9"/>
      <c r="F36" s="9"/>
      <c r="G36" s="9"/>
    </row>
  </sheetData>
  <mergeCells count="18">
    <mergeCell ref="B15:G15"/>
    <mergeCell ref="B16:G16"/>
    <mergeCell ref="B17:G17"/>
    <mergeCell ref="B18:G18"/>
    <mergeCell ref="B19:G19"/>
    <mergeCell ref="B20:G20"/>
    <mergeCell ref="B21:G21"/>
    <mergeCell ref="B22:G22"/>
    <mergeCell ref="B25:G25"/>
    <mergeCell ref="B26:G26"/>
    <mergeCell ref="B27:G27"/>
    <mergeCell ref="B28:G28"/>
    <mergeCell ref="B29:G29"/>
    <mergeCell ref="B32:G32"/>
    <mergeCell ref="B33:G33"/>
    <mergeCell ref="B34:G34"/>
    <mergeCell ref="B35:G35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7"/>
    <col collapsed="false" customWidth="true" hidden="false" outlineLevel="0" max="7" min="7" style="0" width="46"/>
  </cols>
  <sheetData>
    <row r="2" customFormat="false" ht="17.35" hidden="false" customHeight="false" outlineLevel="0" collapsed="false">
      <c r="B2" s="1" t="s">
        <v>61</v>
      </c>
    </row>
    <row r="3" customFormat="false" ht="15" hidden="false" customHeight="false" outlineLevel="0" collapsed="false">
      <c r="B3" s="2" t="s">
        <v>62</v>
      </c>
    </row>
    <row r="5" customFormat="false" ht="15" hidden="false" customHeight="false" outlineLevel="0" collapsed="false">
      <c r="B5" s="3" t="s">
        <v>63</v>
      </c>
    </row>
    <row r="6" customFormat="false" ht="15" hidden="false" customHeight="false" outlineLevel="0" collapsed="false">
      <c r="B6" s="12" t="s">
        <v>5</v>
      </c>
      <c r="C6" s="9" t="s">
        <v>17</v>
      </c>
      <c r="D6" s="9"/>
      <c r="E6" s="9"/>
    </row>
    <row r="7" customFormat="false" ht="15" hidden="false" customHeight="false" outlineLevel="0" collapsed="false">
      <c r="B7" s="12" t="s">
        <v>6</v>
      </c>
      <c r="C7" s="9" t="s">
        <v>12</v>
      </c>
      <c r="D7" s="9"/>
      <c r="E7" s="9"/>
    </row>
    <row r="8" customFormat="false" ht="15" hidden="false" customHeight="false" outlineLevel="0" collapsed="false">
      <c r="B8" s="12" t="s">
        <v>7</v>
      </c>
      <c r="C8" s="9" t="s">
        <v>13</v>
      </c>
      <c r="D8" s="9"/>
      <c r="E8" s="9"/>
    </row>
    <row r="9" customFormat="false" ht="15" hidden="false" customHeight="false" outlineLevel="0" collapsed="false">
      <c r="B9" s="12" t="s">
        <v>64</v>
      </c>
      <c r="C9" s="9" t="s">
        <v>65</v>
      </c>
      <c r="D9" s="9"/>
      <c r="E9" s="9"/>
    </row>
    <row r="10" customFormat="false" ht="15" hidden="false" customHeight="false" outlineLevel="0" collapsed="false">
      <c r="B10" s="12" t="s">
        <v>66</v>
      </c>
      <c r="C10" s="9" t="s">
        <v>67</v>
      </c>
      <c r="D10" s="9"/>
      <c r="E10" s="9"/>
    </row>
    <row r="12" customFormat="false" ht="15" hidden="false" customHeight="false" outlineLevel="0" collapsed="false">
      <c r="B12" s="3" t="s">
        <v>68</v>
      </c>
    </row>
    <row r="13" customFormat="false" ht="15" hidden="false" customHeight="false" outlineLevel="0" collapsed="false">
      <c r="B13" s="13" t="s">
        <v>69</v>
      </c>
      <c r="C13" s="13" t="s">
        <v>70</v>
      </c>
      <c r="D13" s="13" t="s">
        <v>71</v>
      </c>
      <c r="E13" s="13" t="s">
        <v>72</v>
      </c>
      <c r="F13" s="13" t="s">
        <v>73</v>
      </c>
    </row>
    <row r="14" customFormat="false" ht="23.85" hidden="false" customHeight="false" outlineLevel="0" collapsed="false">
      <c r="B14" s="8" t="s">
        <v>74</v>
      </c>
      <c r="C14" s="14" t="n">
        <v>5658759199548</v>
      </c>
      <c r="D14" s="14" t="n">
        <v>5681580248153</v>
      </c>
      <c r="E14" s="14" t="n">
        <v>6426369244563</v>
      </c>
      <c r="F14" s="15" t="s">
        <v>75</v>
      </c>
    </row>
    <row r="15" customFormat="false" ht="15" hidden="false" customHeight="false" outlineLevel="0" collapsed="false">
      <c r="B15" s="8" t="s">
        <v>76</v>
      </c>
      <c r="C15" s="14" t="n">
        <v>1642978052440</v>
      </c>
      <c r="D15" s="14" t="n">
        <v>2435058282483</v>
      </c>
      <c r="E15" s="14" t="n">
        <v>2419517905105</v>
      </c>
      <c r="F15" s="15"/>
    </row>
    <row r="16" customFormat="false" ht="15" hidden="false" customHeight="false" outlineLevel="0" collapsed="false">
      <c r="B16" s="8" t="s">
        <v>77</v>
      </c>
      <c r="C16" s="14" t="n">
        <v>1228628689780</v>
      </c>
      <c r="D16" s="14" t="n">
        <v>1298774919831</v>
      </c>
      <c r="E16" s="14" t="n">
        <v>1652054574062</v>
      </c>
      <c r="F16" s="15"/>
    </row>
    <row r="17" customFormat="false" ht="23.85" hidden="false" customHeight="false" outlineLevel="0" collapsed="false">
      <c r="B17" s="8" t="s">
        <v>78</v>
      </c>
      <c r="C17" s="14" t="n">
        <v>414349362660</v>
      </c>
      <c r="D17" s="14" t="n">
        <v>1136283362652</v>
      </c>
      <c r="E17" s="14" t="n">
        <v>767463331043</v>
      </c>
      <c r="F17" s="15" t="s">
        <v>79</v>
      </c>
    </row>
    <row r="18" customFormat="false" ht="15" hidden="false" customHeight="false" outlineLevel="0" collapsed="false">
      <c r="B18" s="8" t="s">
        <v>80</v>
      </c>
      <c r="C18" s="14" t="n">
        <v>448656000000</v>
      </c>
      <c r="D18" s="14" t="n">
        <v>1079609986000</v>
      </c>
      <c r="E18" s="14" t="n">
        <v>718639358712</v>
      </c>
      <c r="F18" s="15"/>
    </row>
    <row r="19" customFormat="false" ht="23.85" hidden="false" customHeight="false" outlineLevel="0" collapsed="false">
      <c r="B19" s="8" t="s">
        <v>81</v>
      </c>
      <c r="C19" s="14" t="n">
        <v>448656000000</v>
      </c>
      <c r="D19" s="14" t="n">
        <v>1079609986000</v>
      </c>
      <c r="E19" s="14" t="n">
        <v>718639358712</v>
      </c>
      <c r="F19" s="15" t="s">
        <v>82</v>
      </c>
    </row>
    <row r="20" customFormat="false" ht="15" hidden="false" customHeight="false" outlineLevel="0" collapsed="false">
      <c r="B20" s="8" t="s">
        <v>83</v>
      </c>
      <c r="C20" s="14" t="n">
        <v>1572889266273</v>
      </c>
      <c r="D20" s="14" t="n">
        <v>1204888211832</v>
      </c>
      <c r="E20" s="14" t="n">
        <v>1801012289922</v>
      </c>
      <c r="F20" s="15"/>
    </row>
    <row r="21" customFormat="false" ht="15" hidden="false" customHeight="false" outlineLevel="0" collapsed="false">
      <c r="B21" s="8" t="s">
        <v>84</v>
      </c>
      <c r="C21" s="14" t="n">
        <v>1020327735573</v>
      </c>
      <c r="D21" s="14" t="n">
        <v>687000734407</v>
      </c>
      <c r="E21" s="14" t="n">
        <v>1205499960149</v>
      </c>
      <c r="F21" s="15"/>
    </row>
    <row r="22" customFormat="false" ht="15" hidden="false" customHeight="false" outlineLevel="0" collapsed="false">
      <c r="B22" s="8" t="s">
        <v>85</v>
      </c>
      <c r="C22" s="14" t="n">
        <v>248850786806</v>
      </c>
      <c r="D22" s="14" t="n">
        <v>342180956924</v>
      </c>
      <c r="E22" s="14" t="n">
        <v>548902941301</v>
      </c>
      <c r="F22" s="15"/>
    </row>
    <row r="23" customFormat="false" ht="15" hidden="false" customHeight="false" outlineLevel="0" collapsed="false">
      <c r="B23" s="8" t="s">
        <v>86</v>
      </c>
      <c r="C23" s="14" t="n">
        <v>176995600000</v>
      </c>
      <c r="D23" s="14" t="n">
        <v>62876744806</v>
      </c>
      <c r="E23" s="14" t="n">
        <v>1500000000</v>
      </c>
      <c r="F23" s="15"/>
    </row>
    <row r="24" customFormat="false" ht="15" hidden="false" customHeight="false" outlineLevel="0" collapsed="false">
      <c r="B24" s="8" t="s">
        <v>87</v>
      </c>
      <c r="C24" s="14" t="n">
        <v>139270972657</v>
      </c>
      <c r="D24" s="14" t="n">
        <v>137946421270</v>
      </c>
      <c r="E24" s="14" t="n">
        <v>77281974603</v>
      </c>
      <c r="F24" s="15"/>
    </row>
    <row r="25" customFormat="false" ht="15" hidden="false" customHeight="false" outlineLevel="0" collapsed="false">
      <c r="B25" s="8" t="s">
        <v>88</v>
      </c>
      <c r="C25" s="14" t="n">
        <v>-12555828763</v>
      </c>
      <c r="D25" s="14" t="n">
        <v>-25115984575</v>
      </c>
      <c r="E25" s="14" t="n">
        <v>-32172586131</v>
      </c>
      <c r="F25" s="15"/>
    </row>
    <row r="26" customFormat="false" ht="23.85" hidden="false" customHeight="false" outlineLevel="0" collapsed="false">
      <c r="B26" s="8" t="s">
        <v>89</v>
      </c>
      <c r="C26" s="14" t="n">
        <v>1790091357848</v>
      </c>
      <c r="D26" s="14" t="n">
        <v>781680229197</v>
      </c>
      <c r="E26" s="14" t="n">
        <v>1286443372106</v>
      </c>
      <c r="F26" s="15" t="s">
        <v>90</v>
      </c>
    </row>
    <row r="27" customFormat="false" ht="23.85" hidden="false" customHeight="false" outlineLevel="0" collapsed="false">
      <c r="B27" s="8" t="s">
        <v>91</v>
      </c>
      <c r="C27" s="14" t="n">
        <v>1861071739241</v>
      </c>
      <c r="D27" s="14" t="n">
        <v>783390158893</v>
      </c>
      <c r="E27" s="14" t="n">
        <v>1288143128446</v>
      </c>
      <c r="F27" s="15" t="s">
        <v>92</v>
      </c>
    </row>
    <row r="28" customFormat="false" ht="15" hidden="false" customHeight="false" outlineLevel="0" collapsed="false">
      <c r="B28" s="8" t="s">
        <v>93</v>
      </c>
      <c r="C28" s="14" t="n">
        <v>-70980381393</v>
      </c>
      <c r="D28" s="14" t="n">
        <v>-1709929696</v>
      </c>
      <c r="E28" s="14" t="n">
        <v>-1699756340</v>
      </c>
      <c r="F28" s="15"/>
    </row>
    <row r="29" customFormat="false" ht="15" hidden="false" customHeight="false" outlineLevel="0" collapsed="false">
      <c r="B29" s="8" t="s">
        <v>94</v>
      </c>
      <c r="C29" s="14" t="n">
        <v>204144522987</v>
      </c>
      <c r="D29" s="14" t="n">
        <v>180343538641</v>
      </c>
      <c r="E29" s="14" t="n">
        <v>200756318718</v>
      </c>
      <c r="F29" s="15"/>
    </row>
    <row r="30" customFormat="false" ht="15" hidden="false" customHeight="false" outlineLevel="0" collapsed="false">
      <c r="B30" s="8" t="s">
        <v>95</v>
      </c>
      <c r="C30" s="14" t="n">
        <v>10079638639</v>
      </c>
      <c r="D30" s="14" t="n">
        <v>13138650715</v>
      </c>
      <c r="E30" s="14" t="n">
        <v>24215797751</v>
      </c>
      <c r="F30" s="15"/>
    </row>
    <row r="31" customFormat="false" ht="15" hidden="false" customHeight="false" outlineLevel="0" collapsed="false">
      <c r="B31" s="8" t="s">
        <v>96</v>
      </c>
      <c r="C31" s="14" t="n">
        <v>183967466895</v>
      </c>
      <c r="D31" s="14" t="n">
        <v>164269427413</v>
      </c>
      <c r="E31" s="14" t="n">
        <v>175208437025</v>
      </c>
      <c r="F31" s="15"/>
    </row>
    <row r="32" customFormat="false" ht="15" hidden="false" customHeight="false" outlineLevel="0" collapsed="false">
      <c r="B32" s="8" t="s">
        <v>97</v>
      </c>
      <c r="C32" s="14" t="n">
        <v>10097417453</v>
      </c>
      <c r="D32" s="14" t="n">
        <v>2935460513</v>
      </c>
      <c r="E32" s="14" t="n">
        <v>1332083942</v>
      </c>
      <c r="F32" s="15"/>
    </row>
    <row r="33" customFormat="false" ht="23.85" hidden="false" customHeight="false" outlineLevel="0" collapsed="false">
      <c r="B33" s="8" t="s">
        <v>98</v>
      </c>
      <c r="C33" s="14" t="n">
        <v>5137073482164</v>
      </c>
      <c r="D33" s="14" t="n">
        <v>5901865257763</v>
      </c>
      <c r="E33" s="14" t="n">
        <v>7341846339892</v>
      </c>
      <c r="F33" s="15" t="s">
        <v>99</v>
      </c>
    </row>
    <row r="34" customFormat="false" ht="15" hidden="false" customHeight="false" outlineLevel="0" collapsed="false">
      <c r="B34" s="8" t="s">
        <v>100</v>
      </c>
      <c r="C34" s="14" t="n">
        <v>66843405856</v>
      </c>
      <c r="D34" s="14" t="n">
        <v>82297269278</v>
      </c>
      <c r="E34" s="14" t="n">
        <v>384648137968</v>
      </c>
      <c r="F34" s="15"/>
    </row>
    <row r="35" customFormat="false" ht="23.85" hidden="false" customHeight="false" outlineLevel="0" collapsed="false">
      <c r="B35" s="8" t="s">
        <v>101</v>
      </c>
      <c r="C35" s="14" t="n">
        <v>50167619216</v>
      </c>
      <c r="D35" s="16"/>
      <c r="E35" s="16"/>
      <c r="F35" s="15" t="s">
        <v>102</v>
      </c>
    </row>
    <row r="36" customFormat="false" ht="23.85" hidden="false" customHeight="false" outlineLevel="0" collapsed="false">
      <c r="B36" s="8" t="s">
        <v>103</v>
      </c>
      <c r="C36" s="14" t="n">
        <v>940160000</v>
      </c>
      <c r="D36" s="14" t="n">
        <v>77154150000</v>
      </c>
      <c r="E36" s="14" t="n">
        <v>358500000000</v>
      </c>
      <c r="F36" s="15" t="s">
        <v>104</v>
      </c>
    </row>
    <row r="37" customFormat="false" ht="15" hidden="false" customHeight="false" outlineLevel="0" collapsed="false">
      <c r="B37" s="8" t="s">
        <v>105</v>
      </c>
      <c r="C37" s="14" t="n">
        <v>15735626640</v>
      </c>
      <c r="D37" s="14" t="n">
        <v>5143119278</v>
      </c>
      <c r="E37" s="14" t="n">
        <v>26148137968</v>
      </c>
      <c r="F37" s="15"/>
    </row>
    <row r="38" customFormat="false" ht="15" hidden="false" customHeight="false" outlineLevel="0" collapsed="false">
      <c r="B38" s="8" t="s">
        <v>106</v>
      </c>
      <c r="C38" s="14" t="n">
        <v>2077430539271</v>
      </c>
      <c r="D38" s="14" t="n">
        <v>2012981059510</v>
      </c>
      <c r="E38" s="14" t="n">
        <v>3037270806863</v>
      </c>
      <c r="F38" s="15"/>
    </row>
    <row r="39" customFormat="false" ht="15" hidden="false" customHeight="false" outlineLevel="0" collapsed="false">
      <c r="B39" s="8" t="s">
        <v>107</v>
      </c>
      <c r="C39" s="14" t="n">
        <v>2000004299809</v>
      </c>
      <c r="D39" s="14" t="n">
        <v>1863866579072</v>
      </c>
      <c r="E39" s="14" t="n">
        <v>2836544208665</v>
      </c>
      <c r="F39" s="15"/>
    </row>
    <row r="40" customFormat="false" ht="15" hidden="false" customHeight="false" outlineLevel="0" collapsed="false">
      <c r="B40" s="8" t="s">
        <v>108</v>
      </c>
      <c r="C40" s="14" t="n">
        <v>3706995504215</v>
      </c>
      <c r="D40" s="14" t="n">
        <v>3825525516174</v>
      </c>
      <c r="E40" s="14" t="n">
        <v>5028006172161</v>
      </c>
      <c r="F40" s="15"/>
    </row>
    <row r="41" customFormat="false" ht="15" hidden="false" customHeight="false" outlineLevel="0" collapsed="false">
      <c r="B41" s="8" t="s">
        <v>109</v>
      </c>
      <c r="C41" s="14" t="n">
        <v>-1706991204406</v>
      </c>
      <c r="D41" s="14" t="n">
        <v>-1961658937102</v>
      </c>
      <c r="E41" s="14" t="n">
        <v>-2191461963496</v>
      </c>
      <c r="F41" s="15"/>
    </row>
    <row r="42" customFormat="false" ht="23.85" hidden="false" customHeight="false" outlineLevel="0" collapsed="false">
      <c r="B42" s="8" t="s">
        <v>110</v>
      </c>
      <c r="C42" s="16"/>
      <c r="D42" s="16"/>
      <c r="E42" s="14" t="n">
        <v>56808705545</v>
      </c>
      <c r="F42" s="15" t="s">
        <v>111</v>
      </c>
    </row>
    <row r="43" customFormat="false" ht="15" hidden="false" customHeight="false" outlineLevel="0" collapsed="false">
      <c r="B43" s="8" t="s">
        <v>112</v>
      </c>
      <c r="C43" s="16"/>
      <c r="D43" s="16"/>
      <c r="E43" s="14" t="n">
        <v>58342016855</v>
      </c>
      <c r="F43" s="15"/>
    </row>
    <row r="44" customFormat="false" ht="15" hidden="false" customHeight="false" outlineLevel="0" collapsed="false">
      <c r="B44" s="8" t="s">
        <v>113</v>
      </c>
      <c r="C44" s="16"/>
      <c r="D44" s="16"/>
      <c r="E44" s="14" t="n">
        <v>-1533111310</v>
      </c>
      <c r="F44" s="15"/>
    </row>
    <row r="45" customFormat="false" ht="15" hidden="false" customHeight="false" outlineLevel="0" collapsed="false">
      <c r="B45" s="8" t="s">
        <v>114</v>
      </c>
      <c r="C45" s="14" t="n">
        <v>77426239462</v>
      </c>
      <c r="D45" s="14" t="n">
        <v>149114480438</v>
      </c>
      <c r="E45" s="14" t="n">
        <v>143917892653</v>
      </c>
      <c r="F45" s="15"/>
    </row>
    <row r="46" customFormat="false" ht="15" hidden="false" customHeight="false" outlineLevel="0" collapsed="false">
      <c r="B46" s="8" t="s">
        <v>115</v>
      </c>
      <c r="C46" s="14" t="n">
        <v>99816162970</v>
      </c>
      <c r="D46" s="14" t="n">
        <v>176314890302</v>
      </c>
      <c r="E46" s="14" t="n">
        <v>174787947790</v>
      </c>
      <c r="F46" s="15"/>
    </row>
    <row r="47" customFormat="false" ht="15" hidden="false" customHeight="false" outlineLevel="0" collapsed="false">
      <c r="B47" s="8" t="s">
        <v>116</v>
      </c>
      <c r="C47" s="14" t="n">
        <v>-22389923508</v>
      </c>
      <c r="D47" s="14" t="n">
        <v>-27200409864</v>
      </c>
      <c r="E47" s="14" t="n">
        <v>-30870055137</v>
      </c>
      <c r="F47" s="15"/>
    </row>
    <row r="48" customFormat="false" ht="15" hidden="false" customHeight="false" outlineLevel="0" collapsed="false">
      <c r="B48" s="8" t="s">
        <v>117</v>
      </c>
      <c r="C48" s="14" t="n">
        <v>497283341861</v>
      </c>
      <c r="D48" s="14" t="n">
        <v>1317994843520</v>
      </c>
      <c r="E48" s="14" t="n">
        <v>1303970692613</v>
      </c>
      <c r="F48" s="15"/>
    </row>
    <row r="49" customFormat="false" ht="15" hidden="false" customHeight="false" outlineLevel="0" collapsed="false">
      <c r="B49" s="8" t="s">
        <v>118</v>
      </c>
      <c r="C49" s="14" t="n">
        <v>599918829247</v>
      </c>
      <c r="D49" s="14" t="n">
        <v>1467322350176</v>
      </c>
      <c r="E49" s="14" t="n">
        <v>1515802867546</v>
      </c>
      <c r="F49" s="15"/>
    </row>
    <row r="50" customFormat="false" ht="15" hidden="false" customHeight="false" outlineLevel="0" collapsed="false">
      <c r="B50" s="8" t="s">
        <v>119</v>
      </c>
      <c r="C50" s="14" t="n">
        <v>-102635487386</v>
      </c>
      <c r="D50" s="14" t="n">
        <v>-149637506656</v>
      </c>
      <c r="E50" s="14" t="n">
        <v>-211832714933</v>
      </c>
      <c r="F50" s="15"/>
    </row>
    <row r="51" customFormat="false" ht="15" hidden="false" customHeight="false" outlineLevel="0" collapsed="false">
      <c r="B51" s="8" t="s">
        <v>120</v>
      </c>
      <c r="C51" s="14" t="n">
        <v>693446040066</v>
      </c>
      <c r="D51" s="14" t="n">
        <v>296545648857</v>
      </c>
      <c r="E51" s="14" t="n">
        <v>1224875552568</v>
      </c>
      <c r="F51" s="15"/>
    </row>
    <row r="52" customFormat="false" ht="23.85" hidden="false" customHeight="false" outlineLevel="0" collapsed="false">
      <c r="B52" s="8" t="s">
        <v>121</v>
      </c>
      <c r="C52" s="14" t="n">
        <v>693446040066</v>
      </c>
      <c r="D52" s="14" t="n">
        <v>296545648857</v>
      </c>
      <c r="E52" s="14" t="n">
        <v>1224875552568</v>
      </c>
      <c r="F52" s="15" t="s">
        <v>122</v>
      </c>
    </row>
    <row r="53" customFormat="false" ht="23.85" hidden="false" customHeight="false" outlineLevel="0" collapsed="false">
      <c r="B53" s="8" t="s">
        <v>123</v>
      </c>
      <c r="C53" s="14" t="n">
        <v>1493973537488</v>
      </c>
      <c r="D53" s="14" t="n">
        <v>1328109477624</v>
      </c>
      <c r="E53" s="14" t="n">
        <v>254217998561</v>
      </c>
      <c r="F53" s="15" t="s">
        <v>124</v>
      </c>
    </row>
    <row r="54" customFormat="false" ht="23.85" hidden="false" customHeight="false" outlineLevel="0" collapsed="false">
      <c r="B54" s="8" t="s">
        <v>125</v>
      </c>
      <c r="C54" s="14" t="n">
        <v>1463973537488</v>
      </c>
      <c r="D54" s="14" t="n">
        <v>1328109477624</v>
      </c>
      <c r="E54" s="14" t="n">
        <v>223841405940</v>
      </c>
      <c r="F54" s="15" t="s">
        <v>126</v>
      </c>
    </row>
    <row r="55" customFormat="false" ht="15" hidden="false" customHeight="false" outlineLevel="0" collapsed="false">
      <c r="B55" s="8" t="s">
        <v>127</v>
      </c>
      <c r="C55" s="16"/>
      <c r="D55" s="16"/>
      <c r="E55" s="14" t="n">
        <v>30376592621</v>
      </c>
      <c r="F55" s="15"/>
    </row>
    <row r="56" customFormat="false" ht="23.85" hidden="false" customHeight="false" outlineLevel="0" collapsed="false">
      <c r="B56" s="8" t="s">
        <v>128</v>
      </c>
      <c r="C56" s="14" t="n">
        <v>30000000000</v>
      </c>
      <c r="D56" s="16"/>
      <c r="E56" s="16"/>
      <c r="F56" s="15" t="s">
        <v>129</v>
      </c>
    </row>
    <row r="57" customFormat="false" ht="15" hidden="false" customHeight="false" outlineLevel="0" collapsed="false">
      <c r="B57" s="8" t="s">
        <v>130</v>
      </c>
      <c r="C57" s="14" t="n">
        <v>308096053622</v>
      </c>
      <c r="D57" s="14" t="n">
        <v>863936958974</v>
      </c>
      <c r="E57" s="14" t="n">
        <v>1136863151319</v>
      </c>
      <c r="F57" s="15"/>
    </row>
    <row r="58" customFormat="false" ht="15" hidden="false" customHeight="false" outlineLevel="0" collapsed="false">
      <c r="B58" s="8" t="s">
        <v>131</v>
      </c>
      <c r="C58" s="14" t="n">
        <v>270203822136</v>
      </c>
      <c r="D58" s="14" t="n">
        <v>801559156249</v>
      </c>
      <c r="E58" s="14" t="n">
        <v>966201588541</v>
      </c>
      <c r="F58" s="15"/>
    </row>
    <row r="59" customFormat="false" ht="15" hidden="false" customHeight="false" outlineLevel="0" collapsed="false">
      <c r="B59" s="8" t="s">
        <v>132</v>
      </c>
      <c r="C59" s="14" t="n">
        <v>5422640490</v>
      </c>
      <c r="D59" s="14" t="n">
        <v>14479007591</v>
      </c>
      <c r="E59" s="14" t="n">
        <v>14230927121</v>
      </c>
      <c r="F59" s="15"/>
    </row>
    <row r="60" customFormat="false" ht="23.85" hidden="false" customHeight="false" outlineLevel="0" collapsed="false">
      <c r="B60" s="8" t="s">
        <v>133</v>
      </c>
      <c r="C60" s="14" t="n">
        <v>32469590996</v>
      </c>
      <c r="D60" s="14" t="n">
        <v>47798795134</v>
      </c>
      <c r="E60" s="14" t="n">
        <v>156430635657</v>
      </c>
      <c r="F60" s="15" t="s">
        <v>134</v>
      </c>
    </row>
    <row r="61" customFormat="false" ht="23.85" hidden="false" customHeight="false" outlineLevel="0" collapsed="false">
      <c r="B61" s="8" t="s">
        <v>135</v>
      </c>
      <c r="C61" s="14" t="n">
        <v>10795832681712</v>
      </c>
      <c r="D61" s="14" t="n">
        <v>11583445505916</v>
      </c>
      <c r="E61" s="14" t="n">
        <v>13768215584455</v>
      </c>
      <c r="F61" s="15" t="s">
        <v>136</v>
      </c>
    </row>
    <row r="64" customFormat="false" ht="15" hidden="false" customHeight="false" outlineLevel="0" collapsed="false">
      <c r="B64" s="3" t="s">
        <v>137</v>
      </c>
    </row>
    <row r="65" customFormat="false" ht="15" hidden="false" customHeight="false" outlineLevel="0" collapsed="false">
      <c r="B65" s="2" t="s">
        <v>138</v>
      </c>
    </row>
    <row r="66" customFormat="false" ht="15" hidden="false" customHeight="false" outlineLevel="0" collapsed="false">
      <c r="B66" s="13" t="s">
        <v>139</v>
      </c>
      <c r="C66" s="13" t="s">
        <v>70</v>
      </c>
      <c r="D66" s="13" t="s">
        <v>71</v>
      </c>
      <c r="E66" s="13" t="s">
        <v>72</v>
      </c>
      <c r="F66" s="13" t="s">
        <v>140</v>
      </c>
    </row>
    <row r="67" customFormat="false" ht="15" hidden="false" customHeight="false" outlineLevel="0" collapsed="false">
      <c r="B67" s="17" t="s">
        <v>141</v>
      </c>
      <c r="C67" s="18" t="s">
        <v>142</v>
      </c>
      <c r="D67" s="18" t="s">
        <v>143</v>
      </c>
      <c r="E67" s="18" t="s">
        <v>144</v>
      </c>
      <c r="F67" s="19" t="s">
        <v>145</v>
      </c>
    </row>
    <row r="68" customFormat="false" ht="15" hidden="false" customHeight="false" outlineLevel="0" collapsed="false">
      <c r="B68" s="20" t="s">
        <v>146</v>
      </c>
      <c r="C68" s="21"/>
      <c r="D68" s="21"/>
      <c r="E68" s="21"/>
      <c r="F68" s="21"/>
    </row>
    <row r="69" customFormat="false" ht="15" hidden="false" customHeight="false" outlineLevel="0" collapsed="false">
      <c r="B69" s="17" t="s">
        <v>147</v>
      </c>
      <c r="C69" s="22"/>
      <c r="D69" s="22"/>
      <c r="E69" s="22"/>
      <c r="F69" s="23" t="s">
        <v>148</v>
      </c>
    </row>
    <row r="70" customFormat="false" ht="15" hidden="false" customHeight="false" outlineLevel="0" collapsed="false">
      <c r="B70" s="17" t="s">
        <v>149</v>
      </c>
      <c r="C70" s="22"/>
      <c r="D70" s="22"/>
      <c r="E70" s="22"/>
      <c r="F70" s="23" t="s">
        <v>148</v>
      </c>
    </row>
    <row r="71" customFormat="false" ht="15" hidden="false" customHeight="false" outlineLevel="0" collapsed="false">
      <c r="B71" s="17" t="s">
        <v>150</v>
      </c>
      <c r="C71" s="22"/>
      <c r="D71" s="22"/>
      <c r="E71" s="22"/>
      <c r="F71" s="23" t="s">
        <v>148</v>
      </c>
    </row>
    <row r="72" customFormat="false" ht="15" hidden="false" customHeight="false" outlineLevel="0" collapsed="false">
      <c r="B72" s="17" t="s">
        <v>151</v>
      </c>
      <c r="C72" s="22"/>
      <c r="D72" s="22"/>
      <c r="E72" s="22"/>
      <c r="F72" s="23" t="s">
        <v>148</v>
      </c>
    </row>
    <row r="73" customFormat="false" ht="15" hidden="false" customHeight="false" outlineLevel="0" collapsed="false">
      <c r="B73" s="20" t="s">
        <v>152</v>
      </c>
      <c r="C73" s="21"/>
      <c r="D73" s="21"/>
      <c r="E73" s="21"/>
      <c r="F73" s="21"/>
    </row>
    <row r="74" customFormat="false" ht="15" hidden="false" customHeight="false" outlineLevel="0" collapsed="false">
      <c r="B74" s="17" t="s">
        <v>153</v>
      </c>
      <c r="C74" s="14" t="n">
        <v>1020327735573</v>
      </c>
      <c r="D74" s="14" t="n">
        <v>687000734407</v>
      </c>
      <c r="E74" s="14" t="n">
        <v>1205499960149</v>
      </c>
      <c r="F74" s="19" t="s">
        <v>145</v>
      </c>
    </row>
    <row r="75" customFormat="false" ht="15" hidden="false" customHeight="false" outlineLevel="0" collapsed="false">
      <c r="B75" s="24" t="s">
        <v>154</v>
      </c>
      <c r="C75" s="22"/>
      <c r="D75" s="22"/>
      <c r="E75" s="22"/>
      <c r="F75" s="23" t="s">
        <v>148</v>
      </c>
    </row>
    <row r="76" customFormat="false" ht="15" hidden="false" customHeight="false" outlineLevel="0" collapsed="false">
      <c r="B76" s="24" t="s">
        <v>155</v>
      </c>
      <c r="C76" s="22"/>
      <c r="D76" s="22"/>
      <c r="E76" s="22"/>
      <c r="F76" s="23" t="s">
        <v>148</v>
      </c>
    </row>
    <row r="77" customFormat="false" ht="15" hidden="false" customHeight="false" outlineLevel="0" collapsed="false">
      <c r="B77" s="17" t="s">
        <v>156</v>
      </c>
      <c r="C77" s="14" t="n">
        <v>1790091357848</v>
      </c>
      <c r="D77" s="14" t="n">
        <v>781680229197</v>
      </c>
      <c r="E77" s="14" t="n">
        <v>1286443372106</v>
      </c>
      <c r="F77" s="19" t="s">
        <v>145</v>
      </c>
    </row>
    <row r="78" customFormat="false" ht="15" hidden="false" customHeight="false" outlineLevel="0" collapsed="false">
      <c r="B78" s="24" t="s">
        <v>157</v>
      </c>
      <c r="C78" s="22"/>
      <c r="D78" s="22"/>
      <c r="E78" s="22"/>
      <c r="F78" s="23" t="s">
        <v>148</v>
      </c>
    </row>
    <row r="79" customFormat="false" ht="15" hidden="false" customHeight="false" outlineLevel="0" collapsed="false">
      <c r="B79" s="24" t="s">
        <v>158</v>
      </c>
      <c r="C79" s="22"/>
      <c r="D79" s="22"/>
      <c r="E79" s="22"/>
      <c r="F79" s="23" t="s">
        <v>148</v>
      </c>
    </row>
    <row r="80" customFormat="false" ht="15" hidden="false" customHeight="false" outlineLevel="0" collapsed="false">
      <c r="B80" s="24" t="s">
        <v>159</v>
      </c>
      <c r="C80" s="22"/>
      <c r="D80" s="22"/>
      <c r="E80" s="22"/>
      <c r="F80" s="23" t="s">
        <v>148</v>
      </c>
    </row>
    <row r="81" customFormat="false" ht="15" hidden="false" customHeight="false" outlineLevel="0" collapsed="false">
      <c r="B81" s="17" t="s">
        <v>160</v>
      </c>
      <c r="C81" s="22"/>
      <c r="D81" s="22"/>
      <c r="E81" s="22"/>
      <c r="F81" s="23" t="s">
        <v>148</v>
      </c>
    </row>
    <row r="82" customFormat="false" ht="15" hidden="false" customHeight="false" outlineLevel="0" collapsed="false">
      <c r="B82" s="24" t="s">
        <v>161</v>
      </c>
      <c r="C82" s="22"/>
      <c r="D82" s="22"/>
      <c r="E82" s="22"/>
      <c r="F82" s="23" t="s">
        <v>148</v>
      </c>
    </row>
    <row r="83" customFormat="false" ht="15" hidden="false" customHeight="false" outlineLevel="0" collapsed="false">
      <c r="B83" s="17" t="s">
        <v>162</v>
      </c>
      <c r="C83" s="22"/>
      <c r="D83" s="22"/>
      <c r="E83" s="22"/>
      <c r="F83" s="23" t="s">
        <v>148</v>
      </c>
    </row>
    <row r="84" customFormat="false" ht="15" hidden="false" customHeight="false" outlineLevel="0" collapsed="false">
      <c r="B84" s="20" t="s">
        <v>163</v>
      </c>
      <c r="C84" s="21"/>
      <c r="D84" s="21"/>
      <c r="E84" s="21"/>
      <c r="F84" s="21"/>
    </row>
    <row r="85" customFormat="false" ht="15" hidden="false" customHeight="false" outlineLevel="0" collapsed="false">
      <c r="B85" s="17" t="s">
        <v>164</v>
      </c>
      <c r="C85" s="14" t="n">
        <v>10795832681712</v>
      </c>
      <c r="D85" s="14" t="n">
        <v>11583445505916</v>
      </c>
      <c r="E85" s="14" t="n">
        <v>13768215584455</v>
      </c>
      <c r="F85" s="19" t="s">
        <v>145</v>
      </c>
    </row>
    <row r="86" customFormat="false" ht="15" hidden="false" customHeight="false" outlineLevel="0" collapsed="false">
      <c r="B86" s="17" t="s">
        <v>165</v>
      </c>
      <c r="C86" s="22"/>
      <c r="D86" s="22"/>
      <c r="E86" s="22"/>
      <c r="F86" s="23" t="s">
        <v>148</v>
      </c>
    </row>
    <row r="89" customFormat="false" ht="15" hidden="false" customHeight="false" outlineLevel="0" collapsed="false">
      <c r="B89" s="3" t="s">
        <v>166</v>
      </c>
    </row>
    <row r="90" customFormat="false" ht="27.75" hidden="false" customHeight="true" outlineLevel="0" collapsed="false">
      <c r="B90" s="25" t="s">
        <v>167</v>
      </c>
      <c r="C90" s="25"/>
      <c r="D90" s="25"/>
      <c r="E90" s="25"/>
      <c r="F90" s="25"/>
    </row>
    <row r="91" customFormat="false" ht="27.75" hidden="false" customHeight="true" outlineLevel="0" collapsed="false">
      <c r="B91" s="25" t="s">
        <v>168</v>
      </c>
      <c r="C91" s="25"/>
      <c r="D91" s="25"/>
      <c r="E91" s="25"/>
      <c r="F91" s="25"/>
    </row>
    <row r="92" customFormat="false" ht="27.75" hidden="false" customHeight="true" outlineLevel="0" collapsed="false">
      <c r="B92" s="25" t="s">
        <v>169</v>
      </c>
      <c r="C92" s="25"/>
      <c r="D92" s="25"/>
      <c r="E92" s="25"/>
      <c r="F92" s="25"/>
    </row>
    <row r="93" customFormat="false" ht="27.75" hidden="false" customHeight="true" outlineLevel="0" collapsed="false">
      <c r="B93" s="25" t="s">
        <v>170</v>
      </c>
      <c r="C93" s="25"/>
      <c r="D93" s="25"/>
      <c r="E93" s="25"/>
      <c r="F93" s="25"/>
    </row>
    <row r="94" customFormat="false" ht="27.75" hidden="false" customHeight="true" outlineLevel="0" collapsed="false">
      <c r="B94" s="25" t="s">
        <v>171</v>
      </c>
      <c r="C94" s="25"/>
      <c r="D94" s="25"/>
      <c r="E94" s="25"/>
      <c r="F94" s="25"/>
    </row>
  </sheetData>
  <mergeCells count="10">
    <mergeCell ref="C6:E6"/>
    <mergeCell ref="C7:E7"/>
    <mergeCell ref="C8:E8"/>
    <mergeCell ref="C9:E9"/>
    <mergeCell ref="C10:E10"/>
    <mergeCell ref="B90:F90"/>
    <mergeCell ref="B91:F91"/>
    <mergeCell ref="B92:F92"/>
    <mergeCell ref="B93:F93"/>
    <mergeCell ref="B94:F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7"/>
    <col collapsed="false" customWidth="true" hidden="false" outlineLevel="0" max="7" min="7" style="0" width="46"/>
  </cols>
  <sheetData>
    <row r="2" customFormat="false" ht="17.35" hidden="false" customHeight="false" outlineLevel="0" collapsed="false">
      <c r="B2" s="1" t="s">
        <v>172</v>
      </c>
    </row>
    <row r="3" customFormat="false" ht="15" hidden="false" customHeight="false" outlineLevel="0" collapsed="false">
      <c r="B3" s="2" t="s">
        <v>173</v>
      </c>
    </row>
    <row r="5" customFormat="false" ht="15" hidden="false" customHeight="false" outlineLevel="0" collapsed="false">
      <c r="B5" s="3" t="s">
        <v>63</v>
      </c>
    </row>
    <row r="6" customFormat="false" ht="15" hidden="false" customHeight="false" outlineLevel="0" collapsed="false">
      <c r="B6" s="12" t="s">
        <v>5</v>
      </c>
      <c r="C6" s="9" t="s">
        <v>11</v>
      </c>
      <c r="D6" s="9"/>
      <c r="E6" s="9"/>
    </row>
    <row r="7" customFormat="false" ht="15" hidden="false" customHeight="false" outlineLevel="0" collapsed="false">
      <c r="B7" s="12" t="s">
        <v>6</v>
      </c>
      <c r="C7" s="9" t="s">
        <v>12</v>
      </c>
      <c r="D7" s="9"/>
      <c r="E7" s="9"/>
    </row>
    <row r="8" customFormat="false" ht="15" hidden="false" customHeight="false" outlineLevel="0" collapsed="false">
      <c r="B8" s="12" t="s">
        <v>7</v>
      </c>
      <c r="C8" s="9" t="s">
        <v>13</v>
      </c>
      <c r="D8" s="9"/>
      <c r="E8" s="9"/>
    </row>
    <row r="9" customFormat="false" ht="15" hidden="false" customHeight="false" outlineLevel="0" collapsed="false">
      <c r="B9" s="12" t="s">
        <v>64</v>
      </c>
      <c r="C9" s="9" t="s">
        <v>65</v>
      </c>
      <c r="D9" s="9"/>
      <c r="E9" s="9"/>
    </row>
    <row r="10" customFormat="false" ht="15" hidden="false" customHeight="false" outlineLevel="0" collapsed="false">
      <c r="B10" s="12" t="s">
        <v>66</v>
      </c>
      <c r="C10" s="9" t="s">
        <v>174</v>
      </c>
      <c r="D10" s="9"/>
      <c r="E10" s="9"/>
    </row>
    <row r="12" customFormat="false" ht="15" hidden="false" customHeight="false" outlineLevel="0" collapsed="false">
      <c r="B12" s="3" t="s">
        <v>68</v>
      </c>
    </row>
    <row r="13" customFormat="false" ht="15" hidden="false" customHeight="false" outlineLevel="0" collapsed="false">
      <c r="B13" s="13" t="s">
        <v>69</v>
      </c>
      <c r="C13" s="13" t="s">
        <v>70</v>
      </c>
      <c r="D13" s="13" t="s">
        <v>71</v>
      </c>
      <c r="E13" s="13" t="s">
        <v>72</v>
      </c>
      <c r="F13" s="13" t="s">
        <v>175</v>
      </c>
      <c r="G13" s="13" t="s">
        <v>73</v>
      </c>
    </row>
    <row r="14" customFormat="false" ht="15" hidden="false" customHeight="false" outlineLevel="0" collapsed="false">
      <c r="B14" s="8" t="s">
        <v>176</v>
      </c>
      <c r="C14" s="14" t="n">
        <v>3075796747433</v>
      </c>
      <c r="D14" s="14" t="n">
        <v>3501190530399</v>
      </c>
      <c r="E14" s="14" t="n">
        <v>4472882423054</v>
      </c>
      <c r="F14" s="14" t="n">
        <v>5142616826127</v>
      </c>
      <c r="G14" s="15" t="s">
        <v>177</v>
      </c>
    </row>
    <row r="15" customFormat="false" ht="15" hidden="false" customHeight="false" outlineLevel="0" collapsed="false">
      <c r="B15" s="8" t="s">
        <v>178</v>
      </c>
      <c r="C15" s="14" t="n">
        <v>167926602716</v>
      </c>
      <c r="D15" s="14" t="n">
        <v>485324285487</v>
      </c>
      <c r="E15" s="14" t="n">
        <v>532864832803</v>
      </c>
      <c r="F15" s="14" t="n">
        <v>446315838831</v>
      </c>
      <c r="G15" s="15"/>
    </row>
    <row r="16" customFormat="false" ht="15" hidden="false" customHeight="false" outlineLevel="0" collapsed="false">
      <c r="B16" s="8" t="s">
        <v>179</v>
      </c>
      <c r="C16" s="14" t="n">
        <v>127873999976</v>
      </c>
      <c r="D16" s="14" t="n">
        <v>474782229711</v>
      </c>
      <c r="E16" s="14" t="n">
        <v>291883664188</v>
      </c>
      <c r="F16" s="14" t="n">
        <v>184969703318</v>
      </c>
      <c r="G16" s="15"/>
    </row>
    <row r="17" customFormat="false" ht="15" hidden="false" customHeight="false" outlineLevel="0" collapsed="false">
      <c r="B17" s="8" t="s">
        <v>180</v>
      </c>
      <c r="C17" s="14" t="n">
        <v>40052602740</v>
      </c>
      <c r="D17" s="14" t="n">
        <v>10542055776</v>
      </c>
      <c r="E17" s="14" t="n">
        <v>240981168615</v>
      </c>
      <c r="F17" s="14" t="n">
        <v>261346135513</v>
      </c>
      <c r="G17" s="15" t="s">
        <v>181</v>
      </c>
    </row>
    <row r="18" customFormat="false" ht="15" hidden="false" customHeight="false" outlineLevel="0" collapsed="false">
      <c r="B18" s="8" t="s">
        <v>182</v>
      </c>
      <c r="C18" s="14" t="n">
        <v>432857808219</v>
      </c>
      <c r="D18" s="14" t="n">
        <v>950000000000</v>
      </c>
      <c r="E18" s="14" t="n">
        <v>2492000000000</v>
      </c>
      <c r="F18" s="14" t="n">
        <v>2679000000000</v>
      </c>
      <c r="G18" s="15"/>
    </row>
    <row r="19" customFormat="false" ht="15" hidden="false" customHeight="false" outlineLevel="0" collapsed="false">
      <c r="B19" s="8" t="s">
        <v>183</v>
      </c>
      <c r="C19" s="14" t="n">
        <v>432857808219</v>
      </c>
      <c r="D19" s="14" t="n">
        <v>950000000000</v>
      </c>
      <c r="E19" s="14" t="n">
        <v>2492000000000</v>
      </c>
      <c r="F19" s="14" t="n">
        <v>2679000000000</v>
      </c>
      <c r="G19" s="15" t="s">
        <v>184</v>
      </c>
    </row>
    <row r="20" customFormat="false" ht="15" hidden="false" customHeight="false" outlineLevel="0" collapsed="false">
      <c r="B20" s="8" t="s">
        <v>185</v>
      </c>
      <c r="C20" s="14" t="n">
        <v>890889388815</v>
      </c>
      <c r="D20" s="14" t="n">
        <v>889524952669</v>
      </c>
      <c r="E20" s="14" t="n">
        <v>428249651492</v>
      </c>
      <c r="F20" s="14" t="n">
        <v>525233538760</v>
      </c>
      <c r="G20" s="15" t="s">
        <v>186</v>
      </c>
    </row>
    <row r="21" customFormat="false" ht="15" hidden="false" customHeight="false" outlineLevel="0" collapsed="false">
      <c r="B21" s="8" t="s">
        <v>187</v>
      </c>
      <c r="C21" s="14" t="n">
        <v>866425088081</v>
      </c>
      <c r="D21" s="14" t="n">
        <v>869315928192</v>
      </c>
      <c r="E21" s="14" t="n">
        <v>388318659135</v>
      </c>
      <c r="F21" s="14" t="n">
        <v>374391953022</v>
      </c>
      <c r="G21" s="15" t="s">
        <v>188</v>
      </c>
    </row>
    <row r="22" customFormat="false" ht="15" hidden="false" customHeight="false" outlineLevel="0" collapsed="false">
      <c r="B22" s="8" t="s">
        <v>189</v>
      </c>
      <c r="C22" s="14" t="n">
        <v>73350864092</v>
      </c>
      <c r="D22" s="14" t="n">
        <v>48015316819</v>
      </c>
      <c r="E22" s="14" t="n">
        <v>66751850700</v>
      </c>
      <c r="F22" s="14" t="n">
        <v>157108744682</v>
      </c>
      <c r="G22" s="15"/>
    </row>
    <row r="23" customFormat="false" ht="15" hidden="false" customHeight="false" outlineLevel="0" collapsed="false">
      <c r="B23" s="8" t="s">
        <v>190</v>
      </c>
      <c r="C23" s="16"/>
      <c r="D23" s="16"/>
      <c r="E23" s="16"/>
      <c r="F23" s="16"/>
      <c r="G23" s="15"/>
    </row>
    <row r="24" customFormat="false" ht="15" hidden="false" customHeight="false" outlineLevel="0" collapsed="false">
      <c r="B24" s="8" t="s">
        <v>191</v>
      </c>
      <c r="C24" s="14" t="n">
        <v>13201215478</v>
      </c>
      <c r="D24" s="14" t="n">
        <v>27162774191</v>
      </c>
      <c r="E24" s="14" t="n">
        <v>28721429057</v>
      </c>
      <c r="F24" s="14" t="n">
        <v>49798904863</v>
      </c>
      <c r="G24" s="15" t="s">
        <v>192</v>
      </c>
    </row>
    <row r="25" customFormat="false" ht="15" hidden="false" customHeight="false" outlineLevel="0" collapsed="false">
      <c r="B25" s="8" t="s">
        <v>193</v>
      </c>
      <c r="C25" s="14" t="n">
        <v>-62087778836</v>
      </c>
      <c r="D25" s="14" t="n">
        <v>-54969586533</v>
      </c>
      <c r="E25" s="14" t="n">
        <v>-55542287400</v>
      </c>
      <c r="F25" s="14" t="n">
        <v>-56066063807</v>
      </c>
      <c r="G25" s="15" t="s">
        <v>194</v>
      </c>
    </row>
    <row r="26" customFormat="false" ht="15" hidden="false" customHeight="false" outlineLevel="0" collapsed="false">
      <c r="B26" s="8" t="s">
        <v>195</v>
      </c>
      <c r="C26" s="16"/>
      <c r="D26" s="14" t="n">
        <v>520000</v>
      </c>
      <c r="E26" s="16"/>
      <c r="F26" s="16"/>
      <c r="G26" s="15" t="s">
        <v>196</v>
      </c>
    </row>
    <row r="27" customFormat="false" ht="15" hidden="false" customHeight="false" outlineLevel="0" collapsed="false">
      <c r="B27" s="8" t="s">
        <v>197</v>
      </c>
      <c r="C27" s="14" t="n">
        <v>1535149437534</v>
      </c>
      <c r="D27" s="14" t="n">
        <v>1158634823678</v>
      </c>
      <c r="E27" s="14" t="n">
        <v>1005126876948</v>
      </c>
      <c r="F27" s="14" t="n">
        <v>1441053821794</v>
      </c>
      <c r="G27" s="15" t="s">
        <v>198</v>
      </c>
    </row>
    <row r="28" customFormat="false" ht="15" hidden="false" customHeight="false" outlineLevel="0" collapsed="false">
      <c r="B28" s="8" t="s">
        <v>199</v>
      </c>
      <c r="C28" s="14" t="n">
        <v>1538861573575</v>
      </c>
      <c r="D28" s="14" t="n">
        <v>1158634823678</v>
      </c>
      <c r="E28" s="14" t="n">
        <v>1005160488222</v>
      </c>
      <c r="F28" s="14" t="n">
        <v>1441634282813</v>
      </c>
      <c r="G28" s="15" t="s">
        <v>200</v>
      </c>
    </row>
    <row r="29" customFormat="false" ht="15" hidden="false" customHeight="false" outlineLevel="0" collapsed="false">
      <c r="B29" s="8" t="s">
        <v>201</v>
      </c>
      <c r="C29" s="14" t="n">
        <v>-3712136041</v>
      </c>
      <c r="D29" s="16"/>
      <c r="E29" s="14" t="n">
        <v>-33611274</v>
      </c>
      <c r="F29" s="14" t="n">
        <v>-580461019</v>
      </c>
      <c r="G29" s="15" t="s">
        <v>202</v>
      </c>
    </row>
    <row r="30" customFormat="false" ht="15" hidden="false" customHeight="false" outlineLevel="0" collapsed="false">
      <c r="B30" s="8" t="s">
        <v>203</v>
      </c>
      <c r="C30" s="14" t="n">
        <v>48973510149</v>
      </c>
      <c r="D30" s="14" t="n">
        <v>17706468565</v>
      </c>
      <c r="E30" s="14" t="n">
        <v>14641061811</v>
      </c>
      <c r="F30" s="14" t="n">
        <v>51013626742</v>
      </c>
      <c r="G30" s="15"/>
    </row>
    <row r="31" customFormat="false" ht="15" hidden="false" customHeight="false" outlineLevel="0" collapsed="false">
      <c r="B31" s="8" t="s">
        <v>204</v>
      </c>
      <c r="C31" s="14" t="n">
        <v>12681337593</v>
      </c>
      <c r="D31" s="14" t="n">
        <v>16898722913</v>
      </c>
      <c r="E31" s="14" t="n">
        <v>12467355826</v>
      </c>
      <c r="F31" s="14" t="n">
        <v>47231768642</v>
      </c>
      <c r="G31" s="15" t="s">
        <v>205</v>
      </c>
    </row>
    <row r="32" customFormat="false" ht="15" hidden="false" customHeight="false" outlineLevel="0" collapsed="false">
      <c r="B32" s="8" t="s">
        <v>206</v>
      </c>
      <c r="C32" s="14" t="n">
        <v>35878430549</v>
      </c>
      <c r="D32" s="14" t="n">
        <v>363978613</v>
      </c>
      <c r="E32" s="14" t="n">
        <v>1757070115</v>
      </c>
      <c r="F32" s="14" t="n">
        <v>364190395</v>
      </c>
      <c r="G32" s="15"/>
    </row>
    <row r="33" customFormat="false" ht="15" hidden="false" customHeight="false" outlineLevel="0" collapsed="false">
      <c r="B33" s="8" t="s">
        <v>207</v>
      </c>
      <c r="C33" s="14" t="n">
        <v>413742007</v>
      </c>
      <c r="D33" s="14" t="n">
        <v>443767039</v>
      </c>
      <c r="E33" s="14" t="n">
        <v>416635870</v>
      </c>
      <c r="F33" s="14" t="n">
        <v>3417667705</v>
      </c>
      <c r="G33" s="15" t="s">
        <v>208</v>
      </c>
    </row>
    <row r="34" customFormat="false" ht="15" hidden="false" customHeight="false" outlineLevel="0" collapsed="false">
      <c r="B34" s="8" t="s">
        <v>209</v>
      </c>
      <c r="C34" s="14" t="n">
        <v>1988040342651</v>
      </c>
      <c r="D34" s="14" t="n">
        <v>1952508608465</v>
      </c>
      <c r="E34" s="14" t="n">
        <v>1941989104469</v>
      </c>
      <c r="F34" s="14" t="n">
        <v>1905044645975</v>
      </c>
      <c r="G34" s="15" t="s">
        <v>177</v>
      </c>
    </row>
    <row r="35" customFormat="false" ht="15" hidden="false" customHeight="false" outlineLevel="0" collapsed="false">
      <c r="B35" s="8" t="s">
        <v>210</v>
      </c>
      <c r="C35" s="16"/>
      <c r="D35" s="16"/>
      <c r="E35" s="16"/>
      <c r="F35" s="14" t="n">
        <v>8272496736</v>
      </c>
      <c r="G35" s="15" t="s">
        <v>211</v>
      </c>
    </row>
    <row r="36" customFormat="false" ht="15" hidden="false" customHeight="false" outlineLevel="0" collapsed="false">
      <c r="B36" s="8" t="s">
        <v>212</v>
      </c>
      <c r="C36" s="16"/>
      <c r="D36" s="16"/>
      <c r="E36" s="16"/>
      <c r="F36" s="14" t="n">
        <v>8272496736</v>
      </c>
      <c r="G36" s="15"/>
    </row>
    <row r="37" customFormat="false" ht="15" hidden="false" customHeight="false" outlineLevel="0" collapsed="false">
      <c r="B37" s="8" t="s">
        <v>213</v>
      </c>
      <c r="C37" s="14" t="n">
        <v>1410746940838</v>
      </c>
      <c r="D37" s="14" t="n">
        <v>1328548642812</v>
      </c>
      <c r="E37" s="14" t="n">
        <v>1265480616982</v>
      </c>
      <c r="F37" s="14" t="n">
        <v>1237052346647</v>
      </c>
      <c r="G37" s="15"/>
    </row>
    <row r="38" customFormat="false" ht="15" hidden="false" customHeight="false" outlineLevel="0" collapsed="false">
      <c r="B38" s="8" t="s">
        <v>214</v>
      </c>
      <c r="C38" s="14" t="n">
        <v>1403427508608</v>
      </c>
      <c r="D38" s="14" t="n">
        <v>1321443292812</v>
      </c>
      <c r="E38" s="14" t="n">
        <v>1258375266982</v>
      </c>
      <c r="F38" s="14" t="n">
        <v>1237052346647</v>
      </c>
      <c r="G38" s="15" t="s">
        <v>215</v>
      </c>
    </row>
    <row r="39" customFormat="false" ht="15" hidden="false" customHeight="false" outlineLevel="0" collapsed="false">
      <c r="B39" s="8" t="s">
        <v>216</v>
      </c>
      <c r="C39" s="14" t="n">
        <v>3062315499643</v>
      </c>
      <c r="D39" s="14" t="n">
        <v>3116054800291</v>
      </c>
      <c r="E39" s="14" t="n">
        <v>3186287977774</v>
      </c>
      <c r="F39" s="14" t="n">
        <v>3299704736519</v>
      </c>
      <c r="G39" s="15"/>
    </row>
    <row r="40" customFormat="false" ht="15" hidden="false" customHeight="false" outlineLevel="0" collapsed="false">
      <c r="B40" s="8" t="s">
        <v>217</v>
      </c>
      <c r="C40" s="14" t="n">
        <v>-1658887991035</v>
      </c>
      <c r="D40" s="14" t="n">
        <v>-1794611507479</v>
      </c>
      <c r="E40" s="14" t="n">
        <v>-1927912710792</v>
      </c>
      <c r="F40" s="14" t="n">
        <v>-2062652389872</v>
      </c>
      <c r="G40" s="15"/>
    </row>
    <row r="41" customFormat="false" ht="15" hidden="false" customHeight="false" outlineLevel="0" collapsed="false">
      <c r="B41" s="8" t="s">
        <v>218</v>
      </c>
      <c r="C41" s="14" t="n">
        <v>7319432230</v>
      </c>
      <c r="D41" s="14" t="n">
        <v>7105350000</v>
      </c>
      <c r="E41" s="14" t="n">
        <v>7105350000</v>
      </c>
      <c r="F41" s="16"/>
      <c r="G41" s="15" t="s">
        <v>219</v>
      </c>
    </row>
    <row r="42" customFormat="false" ht="15" hidden="false" customHeight="false" outlineLevel="0" collapsed="false">
      <c r="B42" s="8" t="s">
        <v>220</v>
      </c>
      <c r="C42" s="14" t="n">
        <v>16966399107</v>
      </c>
      <c r="D42" s="14" t="n">
        <v>16966399107</v>
      </c>
      <c r="E42" s="14" t="n">
        <v>16966399107</v>
      </c>
      <c r="F42" s="16"/>
      <c r="G42" s="15" t="s">
        <v>221</v>
      </c>
    </row>
    <row r="43" customFormat="false" ht="15" hidden="false" customHeight="false" outlineLevel="0" collapsed="false">
      <c r="B43" s="8" t="s">
        <v>222</v>
      </c>
      <c r="C43" s="14" t="n">
        <v>-9646966877</v>
      </c>
      <c r="D43" s="14" t="n">
        <v>-9861049107</v>
      </c>
      <c r="E43" s="14" t="n">
        <v>-9861049107</v>
      </c>
      <c r="F43" s="16"/>
      <c r="G43" s="15"/>
    </row>
    <row r="44" customFormat="false" ht="15" hidden="false" customHeight="false" outlineLevel="0" collapsed="false">
      <c r="B44" s="8" t="s">
        <v>223</v>
      </c>
      <c r="C44" s="14" t="n">
        <v>8679749912</v>
      </c>
      <c r="D44" s="14" t="n">
        <v>47357468650</v>
      </c>
      <c r="E44" s="14" t="n">
        <v>11118996692</v>
      </c>
      <c r="F44" s="14" t="n">
        <v>40567718767</v>
      </c>
      <c r="G44" s="15"/>
    </row>
    <row r="45" customFormat="false" ht="15" hidden="false" customHeight="false" outlineLevel="0" collapsed="false">
      <c r="B45" s="8" t="s">
        <v>224</v>
      </c>
      <c r="C45" s="14" t="n">
        <v>8679749912</v>
      </c>
      <c r="D45" s="14" t="n">
        <v>47357468650</v>
      </c>
      <c r="E45" s="14" t="n">
        <v>11118996692</v>
      </c>
      <c r="F45" s="14" t="n">
        <v>40567718767</v>
      </c>
      <c r="G45" s="15" t="s">
        <v>225</v>
      </c>
    </row>
    <row r="46" customFormat="false" ht="15" hidden="false" customHeight="false" outlineLevel="0" collapsed="false">
      <c r="B46" s="8" t="s">
        <v>226</v>
      </c>
      <c r="C46" s="14" t="n">
        <v>424164579920</v>
      </c>
      <c r="D46" s="14" t="n">
        <v>442338913287</v>
      </c>
      <c r="E46" s="14" t="n">
        <v>520028184664</v>
      </c>
      <c r="F46" s="14" t="n">
        <v>513756469171</v>
      </c>
      <c r="G46" s="15"/>
    </row>
    <row r="47" customFormat="false" ht="15" hidden="false" customHeight="false" outlineLevel="0" collapsed="false">
      <c r="B47" s="8" t="s">
        <v>227</v>
      </c>
      <c r="C47" s="14" t="n">
        <v>329539391320</v>
      </c>
      <c r="D47" s="14" t="n">
        <v>337713724687</v>
      </c>
      <c r="E47" s="14" t="n">
        <v>360002996064</v>
      </c>
      <c r="F47" s="14" t="n">
        <v>403731280571</v>
      </c>
      <c r="G47" s="15" t="s">
        <v>228</v>
      </c>
    </row>
    <row r="48" customFormat="false" ht="15" hidden="false" customHeight="false" outlineLevel="0" collapsed="false">
      <c r="B48" s="8" t="s">
        <v>229</v>
      </c>
      <c r="C48" s="14" t="n">
        <v>95960188600</v>
      </c>
      <c r="D48" s="14" t="n">
        <v>95960188600</v>
      </c>
      <c r="E48" s="14" t="n">
        <v>101360188600</v>
      </c>
      <c r="F48" s="14" t="n">
        <v>101360188600</v>
      </c>
      <c r="G48" s="15" t="s">
        <v>230</v>
      </c>
    </row>
    <row r="49" customFormat="false" ht="15" hidden="false" customHeight="false" outlineLevel="0" collapsed="false">
      <c r="B49" s="8" t="s">
        <v>231</v>
      </c>
      <c r="C49" s="14" t="n">
        <v>-1335000000</v>
      </c>
      <c r="D49" s="14" t="n">
        <v>-1335000000</v>
      </c>
      <c r="E49" s="14" t="n">
        <v>-1335000000</v>
      </c>
      <c r="F49" s="14" t="n">
        <v>-1335000000</v>
      </c>
      <c r="G49" s="15"/>
    </row>
    <row r="50" customFormat="false" ht="15" hidden="false" customHeight="false" outlineLevel="0" collapsed="false">
      <c r="B50" s="8" t="s">
        <v>232</v>
      </c>
      <c r="C50" s="16"/>
      <c r="D50" s="14" t="n">
        <v>10000000000</v>
      </c>
      <c r="E50" s="14" t="n">
        <v>60000000000</v>
      </c>
      <c r="F50" s="14" t="n">
        <v>10000000000</v>
      </c>
      <c r="G50" s="15" t="s">
        <v>233</v>
      </c>
    </row>
    <row r="51" customFormat="false" ht="15" hidden="false" customHeight="false" outlineLevel="0" collapsed="false">
      <c r="B51" s="8" t="s">
        <v>234</v>
      </c>
      <c r="C51" s="14" t="n">
        <v>144449071981</v>
      </c>
      <c r="D51" s="14" t="n">
        <v>134263583716</v>
      </c>
      <c r="E51" s="14" t="n">
        <v>145361306131</v>
      </c>
      <c r="F51" s="14" t="n">
        <v>105395614654</v>
      </c>
      <c r="G51" s="15"/>
    </row>
    <row r="52" customFormat="false" ht="15" hidden="false" customHeight="false" outlineLevel="0" collapsed="false">
      <c r="B52" s="8" t="s">
        <v>235</v>
      </c>
      <c r="C52" s="14" t="n">
        <v>143187441487</v>
      </c>
      <c r="D52" s="14" t="n">
        <v>133239678683</v>
      </c>
      <c r="E52" s="14" t="n">
        <v>144555266991</v>
      </c>
      <c r="F52" s="14" t="n">
        <v>104830863457</v>
      </c>
      <c r="G52" s="15" t="s">
        <v>236</v>
      </c>
    </row>
    <row r="53" customFormat="false" ht="15" hidden="false" customHeight="false" outlineLevel="0" collapsed="false">
      <c r="B53" s="8" t="s">
        <v>237</v>
      </c>
      <c r="C53" s="14" t="n">
        <v>1261630494</v>
      </c>
      <c r="D53" s="14" t="n">
        <v>1023905033</v>
      </c>
      <c r="E53" s="14" t="n">
        <v>806039140</v>
      </c>
      <c r="F53" s="14" t="n">
        <v>564751197</v>
      </c>
      <c r="G53" s="15" t="s">
        <v>238</v>
      </c>
    </row>
    <row r="54" customFormat="false" ht="15" hidden="false" customHeight="false" outlineLevel="0" collapsed="false">
      <c r="B54" s="8" t="s">
        <v>239</v>
      </c>
      <c r="C54" s="14" t="n">
        <v>5063837090084</v>
      </c>
      <c r="D54" s="14" t="n">
        <v>5453699138864</v>
      </c>
      <c r="E54" s="14" t="n">
        <v>6414871527523</v>
      </c>
      <c r="F54" s="14" t="n">
        <v>7047661472102</v>
      </c>
      <c r="G54" s="15" t="s">
        <v>240</v>
      </c>
    </row>
    <row r="57" customFormat="false" ht="15" hidden="false" customHeight="false" outlineLevel="0" collapsed="false">
      <c r="B57" s="3" t="s">
        <v>137</v>
      </c>
    </row>
    <row r="58" customFormat="false" ht="15" hidden="false" customHeight="false" outlineLevel="0" collapsed="false">
      <c r="B58" s="2" t="s">
        <v>138</v>
      </c>
    </row>
    <row r="59" customFormat="false" ht="15" hidden="false" customHeight="false" outlineLevel="0" collapsed="false">
      <c r="B59" s="13" t="s">
        <v>139</v>
      </c>
      <c r="C59" s="13" t="s">
        <v>70</v>
      </c>
      <c r="D59" s="13" t="s">
        <v>71</v>
      </c>
      <c r="E59" s="13" t="s">
        <v>72</v>
      </c>
      <c r="F59" s="13" t="s">
        <v>175</v>
      </c>
      <c r="G59" s="13" t="s">
        <v>140</v>
      </c>
    </row>
    <row r="60" customFormat="false" ht="15" hidden="false" customHeight="false" outlineLevel="0" collapsed="false">
      <c r="B60" s="17" t="s">
        <v>141</v>
      </c>
      <c r="C60" s="18" t="s">
        <v>142</v>
      </c>
      <c r="D60" s="18" t="s">
        <v>143</v>
      </c>
      <c r="E60" s="18" t="s">
        <v>144</v>
      </c>
      <c r="F60" s="18" t="s">
        <v>241</v>
      </c>
      <c r="G60" s="19" t="s">
        <v>145</v>
      </c>
    </row>
    <row r="61" customFormat="false" ht="15" hidden="false" customHeight="false" outlineLevel="0" collapsed="false">
      <c r="B61" s="20" t="s">
        <v>146</v>
      </c>
      <c r="C61" s="21"/>
      <c r="D61" s="21"/>
      <c r="E61" s="21"/>
      <c r="F61" s="21"/>
      <c r="G61" s="21"/>
    </row>
    <row r="62" customFormat="false" ht="15" hidden="false" customHeight="false" outlineLevel="0" collapsed="false">
      <c r="B62" s="17" t="s">
        <v>147</v>
      </c>
      <c r="C62" s="22"/>
      <c r="D62" s="22"/>
      <c r="E62" s="22"/>
      <c r="F62" s="22"/>
      <c r="G62" s="23" t="s">
        <v>148</v>
      </c>
    </row>
    <row r="63" customFormat="false" ht="15" hidden="false" customHeight="false" outlineLevel="0" collapsed="false">
      <c r="B63" s="17" t="s">
        <v>149</v>
      </c>
      <c r="C63" s="22"/>
      <c r="D63" s="22"/>
      <c r="E63" s="22"/>
      <c r="F63" s="22"/>
      <c r="G63" s="23" t="s">
        <v>148</v>
      </c>
    </row>
    <row r="64" customFormat="false" ht="15" hidden="false" customHeight="false" outlineLevel="0" collapsed="false">
      <c r="B64" s="17" t="s">
        <v>150</v>
      </c>
      <c r="C64" s="22"/>
      <c r="D64" s="22"/>
      <c r="E64" s="22"/>
      <c r="F64" s="22"/>
      <c r="G64" s="23" t="s">
        <v>148</v>
      </c>
    </row>
    <row r="65" customFormat="false" ht="15" hidden="false" customHeight="false" outlineLevel="0" collapsed="false">
      <c r="B65" s="17" t="s">
        <v>151</v>
      </c>
      <c r="C65" s="22"/>
      <c r="D65" s="22"/>
      <c r="E65" s="22"/>
      <c r="F65" s="22"/>
      <c r="G65" s="23" t="s">
        <v>148</v>
      </c>
    </row>
    <row r="66" customFormat="false" ht="15" hidden="false" customHeight="false" outlineLevel="0" collapsed="false">
      <c r="B66" s="20" t="s">
        <v>152</v>
      </c>
      <c r="C66" s="21"/>
      <c r="D66" s="21"/>
      <c r="E66" s="21"/>
      <c r="F66" s="21"/>
      <c r="G66" s="21"/>
    </row>
    <row r="67" customFormat="false" ht="15" hidden="false" customHeight="false" outlineLevel="0" collapsed="false">
      <c r="B67" s="17" t="s">
        <v>153</v>
      </c>
      <c r="C67" s="14" t="n">
        <v>866425088081</v>
      </c>
      <c r="D67" s="14" t="n">
        <v>869315928192</v>
      </c>
      <c r="E67" s="14" t="n">
        <v>388318659135</v>
      </c>
      <c r="F67" s="14" t="n">
        <v>374391953022</v>
      </c>
      <c r="G67" s="19" t="s">
        <v>145</v>
      </c>
    </row>
    <row r="68" customFormat="false" ht="15" hidden="false" customHeight="false" outlineLevel="0" collapsed="false">
      <c r="B68" s="24" t="s">
        <v>154</v>
      </c>
      <c r="C68" s="22"/>
      <c r="D68" s="22"/>
      <c r="E68" s="22"/>
      <c r="F68" s="22"/>
      <c r="G68" s="23" t="s">
        <v>148</v>
      </c>
    </row>
    <row r="69" customFormat="false" ht="15" hidden="false" customHeight="false" outlineLevel="0" collapsed="false">
      <c r="B69" s="24" t="s">
        <v>155</v>
      </c>
      <c r="C69" s="22"/>
      <c r="D69" s="22"/>
      <c r="E69" s="22"/>
      <c r="F69" s="22"/>
      <c r="G69" s="23" t="s">
        <v>148</v>
      </c>
    </row>
    <row r="70" customFormat="false" ht="15" hidden="false" customHeight="false" outlineLevel="0" collapsed="false">
      <c r="B70" s="17" t="s">
        <v>156</v>
      </c>
      <c r="C70" s="14" t="n">
        <v>1535149437534</v>
      </c>
      <c r="D70" s="14" t="n">
        <v>1158634823678</v>
      </c>
      <c r="E70" s="14" t="n">
        <v>1005126876948</v>
      </c>
      <c r="F70" s="14" t="n">
        <v>1441053821794</v>
      </c>
      <c r="G70" s="19" t="s">
        <v>145</v>
      </c>
    </row>
    <row r="71" customFormat="false" ht="15" hidden="false" customHeight="false" outlineLevel="0" collapsed="false">
      <c r="B71" s="24" t="s">
        <v>157</v>
      </c>
      <c r="C71" s="22"/>
      <c r="D71" s="22"/>
      <c r="E71" s="22"/>
      <c r="F71" s="22"/>
      <c r="G71" s="23" t="s">
        <v>148</v>
      </c>
    </row>
    <row r="72" customFormat="false" ht="15" hidden="false" customHeight="false" outlineLevel="0" collapsed="false">
      <c r="B72" s="24" t="s">
        <v>158</v>
      </c>
      <c r="C72" s="22"/>
      <c r="D72" s="22"/>
      <c r="E72" s="22"/>
      <c r="F72" s="22"/>
      <c r="G72" s="23" t="s">
        <v>148</v>
      </c>
    </row>
    <row r="73" customFormat="false" ht="15" hidden="false" customHeight="false" outlineLevel="0" collapsed="false">
      <c r="B73" s="24" t="s">
        <v>159</v>
      </c>
      <c r="C73" s="22"/>
      <c r="D73" s="22"/>
      <c r="E73" s="22"/>
      <c r="F73" s="22"/>
      <c r="G73" s="23" t="s">
        <v>148</v>
      </c>
    </row>
    <row r="74" customFormat="false" ht="15" hidden="false" customHeight="false" outlineLevel="0" collapsed="false">
      <c r="B74" s="17" t="s">
        <v>160</v>
      </c>
      <c r="C74" s="22"/>
      <c r="D74" s="22"/>
      <c r="E74" s="22"/>
      <c r="F74" s="22"/>
      <c r="G74" s="23" t="s">
        <v>148</v>
      </c>
    </row>
    <row r="75" customFormat="false" ht="15" hidden="false" customHeight="false" outlineLevel="0" collapsed="false">
      <c r="B75" s="24" t="s">
        <v>161</v>
      </c>
      <c r="C75" s="22"/>
      <c r="D75" s="22"/>
      <c r="E75" s="22"/>
      <c r="F75" s="22"/>
      <c r="G75" s="23" t="s">
        <v>148</v>
      </c>
    </row>
    <row r="76" customFormat="false" ht="15" hidden="false" customHeight="false" outlineLevel="0" collapsed="false">
      <c r="B76" s="17" t="s">
        <v>162</v>
      </c>
      <c r="C76" s="22"/>
      <c r="D76" s="22"/>
      <c r="E76" s="22"/>
      <c r="F76" s="22"/>
      <c r="G76" s="23" t="s">
        <v>148</v>
      </c>
    </row>
    <row r="77" customFormat="false" ht="15" hidden="false" customHeight="false" outlineLevel="0" collapsed="false">
      <c r="B77" s="20" t="s">
        <v>163</v>
      </c>
      <c r="C77" s="21"/>
      <c r="D77" s="21"/>
      <c r="E77" s="21"/>
      <c r="F77" s="21"/>
      <c r="G77" s="21"/>
    </row>
    <row r="78" customFormat="false" ht="15" hidden="false" customHeight="false" outlineLevel="0" collapsed="false">
      <c r="B78" s="17" t="s">
        <v>164</v>
      </c>
      <c r="C78" s="14" t="n">
        <v>5063837090084</v>
      </c>
      <c r="D78" s="14" t="n">
        <v>5453699138864</v>
      </c>
      <c r="E78" s="14" t="n">
        <v>6414871527523</v>
      </c>
      <c r="F78" s="14" t="n">
        <v>7047661472102</v>
      </c>
      <c r="G78" s="19" t="s">
        <v>145</v>
      </c>
    </row>
    <row r="79" customFormat="false" ht="15" hidden="false" customHeight="false" outlineLevel="0" collapsed="false">
      <c r="B79" s="17" t="s">
        <v>165</v>
      </c>
      <c r="C79" s="22"/>
      <c r="D79" s="22"/>
      <c r="E79" s="22"/>
      <c r="F79" s="22"/>
      <c r="G79" s="23" t="s">
        <v>148</v>
      </c>
    </row>
    <row r="82" customFormat="false" ht="15" hidden="false" customHeight="false" outlineLevel="0" collapsed="false">
      <c r="B82" s="3" t="s">
        <v>166</v>
      </c>
    </row>
    <row r="83" customFormat="false" ht="27.75" hidden="false" customHeight="true" outlineLevel="0" collapsed="false">
      <c r="B83" s="25" t="s">
        <v>242</v>
      </c>
      <c r="C83" s="25"/>
      <c r="D83" s="25"/>
      <c r="E83" s="25"/>
      <c r="F83" s="25"/>
      <c r="G83" s="25"/>
    </row>
    <row r="84" customFormat="false" ht="27.75" hidden="false" customHeight="true" outlineLevel="0" collapsed="false">
      <c r="B84" s="25" t="s">
        <v>169</v>
      </c>
      <c r="C84" s="25"/>
      <c r="D84" s="25"/>
      <c r="E84" s="25"/>
      <c r="F84" s="25"/>
      <c r="G84" s="25"/>
    </row>
    <row r="85" customFormat="false" ht="27.75" hidden="false" customHeight="true" outlineLevel="0" collapsed="false">
      <c r="B85" s="25" t="s">
        <v>243</v>
      </c>
      <c r="C85" s="25"/>
      <c r="D85" s="25"/>
      <c r="E85" s="25"/>
      <c r="F85" s="25"/>
      <c r="G85" s="25"/>
    </row>
    <row r="86" customFormat="false" ht="27.75" hidden="false" customHeight="true" outlineLevel="0" collapsed="false">
      <c r="B86" s="25" t="s">
        <v>171</v>
      </c>
      <c r="C86" s="25"/>
      <c r="D86" s="25"/>
      <c r="E86" s="25"/>
      <c r="F86" s="25"/>
      <c r="G86" s="25"/>
    </row>
  </sheetData>
  <mergeCells count="9">
    <mergeCell ref="C6:E6"/>
    <mergeCell ref="C7:E7"/>
    <mergeCell ref="C8:E8"/>
    <mergeCell ref="C9:E9"/>
    <mergeCell ref="C10:E10"/>
    <mergeCell ref="B83:G83"/>
    <mergeCell ref="B84:G84"/>
    <mergeCell ref="B85:G85"/>
    <mergeCell ref="B86:G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7"/>
    <col collapsed="false" customWidth="true" hidden="false" outlineLevel="0" max="7" min="7" style="0" width="46"/>
  </cols>
  <sheetData>
    <row r="2" customFormat="false" ht="17.35" hidden="false" customHeight="false" outlineLevel="0" collapsed="false">
      <c r="B2" s="1" t="s">
        <v>244</v>
      </c>
    </row>
    <row r="3" customFormat="false" ht="15" hidden="false" customHeight="false" outlineLevel="0" collapsed="false">
      <c r="B3" s="2" t="s">
        <v>245</v>
      </c>
    </row>
    <row r="5" customFormat="false" ht="15" hidden="false" customHeight="false" outlineLevel="0" collapsed="false">
      <c r="B5" s="3" t="s">
        <v>63</v>
      </c>
    </row>
    <row r="6" customFormat="false" ht="15" hidden="false" customHeight="false" outlineLevel="0" collapsed="false">
      <c r="B6" s="12" t="s">
        <v>5</v>
      </c>
      <c r="C6" s="9" t="s">
        <v>24</v>
      </c>
      <c r="D6" s="9"/>
      <c r="E6" s="9"/>
    </row>
    <row r="7" customFormat="false" ht="15" hidden="false" customHeight="false" outlineLevel="0" collapsed="false">
      <c r="B7" s="12" t="s">
        <v>6</v>
      </c>
      <c r="C7" s="9" t="s">
        <v>25</v>
      </c>
      <c r="D7" s="9"/>
      <c r="E7" s="9"/>
    </row>
    <row r="8" customFormat="false" ht="15" hidden="false" customHeight="false" outlineLevel="0" collapsed="false">
      <c r="B8" s="12" t="s">
        <v>7</v>
      </c>
      <c r="C8" s="9" t="s">
        <v>26</v>
      </c>
      <c r="D8" s="9"/>
      <c r="E8" s="9"/>
    </row>
    <row r="9" customFormat="false" ht="15" hidden="false" customHeight="false" outlineLevel="0" collapsed="false">
      <c r="B9" s="12" t="s">
        <v>64</v>
      </c>
      <c r="C9" s="9" t="s">
        <v>246</v>
      </c>
      <c r="D9" s="9"/>
      <c r="E9" s="9"/>
    </row>
    <row r="10" customFormat="false" ht="15" hidden="false" customHeight="false" outlineLevel="0" collapsed="false">
      <c r="B10" s="12" t="s">
        <v>66</v>
      </c>
      <c r="C10" s="9" t="s">
        <v>247</v>
      </c>
      <c r="D10" s="9"/>
      <c r="E10" s="9"/>
    </row>
    <row r="12" customFormat="false" ht="15" hidden="false" customHeight="false" outlineLevel="0" collapsed="false">
      <c r="B12" s="3" t="s">
        <v>68</v>
      </c>
    </row>
    <row r="13" customFormat="false" ht="15" hidden="false" customHeight="false" outlineLevel="0" collapsed="false">
      <c r="B13" s="13" t="s">
        <v>69</v>
      </c>
      <c r="C13" s="13" t="s">
        <v>70</v>
      </c>
      <c r="D13" s="13" t="s">
        <v>71</v>
      </c>
      <c r="E13" s="13" t="s">
        <v>72</v>
      </c>
      <c r="F13" s="13" t="s">
        <v>175</v>
      </c>
      <c r="G13" s="13" t="s">
        <v>73</v>
      </c>
    </row>
    <row r="14" customFormat="false" ht="15" hidden="false" customHeight="false" outlineLevel="0" collapsed="false">
      <c r="B14" s="8" t="s">
        <v>141</v>
      </c>
      <c r="C14" s="16"/>
      <c r="D14" s="16"/>
      <c r="E14" s="16"/>
      <c r="F14" s="16"/>
      <c r="G14" s="15" t="s">
        <v>248</v>
      </c>
    </row>
    <row r="15" customFormat="false" ht="15" hidden="false" customHeight="false" outlineLevel="0" collapsed="false">
      <c r="B15" s="8" t="s">
        <v>249</v>
      </c>
      <c r="C15" s="14" t="n">
        <v>362952</v>
      </c>
      <c r="D15" s="14" t="n">
        <v>437503</v>
      </c>
      <c r="E15" s="14" t="n">
        <v>468356</v>
      </c>
      <c r="F15" s="14" t="n">
        <v>459689</v>
      </c>
      <c r="G15" s="15" t="s">
        <v>250</v>
      </c>
    </row>
    <row r="16" customFormat="false" ht="23.85" hidden="false" customHeight="false" outlineLevel="0" collapsed="false">
      <c r="B16" s="8" t="s">
        <v>251</v>
      </c>
      <c r="C16" s="14" t="n">
        <v>289963</v>
      </c>
      <c r="D16" s="14" t="n">
        <v>362628</v>
      </c>
      <c r="E16" s="14" t="n">
        <v>373992</v>
      </c>
      <c r="F16" s="14" t="n">
        <v>371443</v>
      </c>
      <c r="G16" s="15" t="s">
        <v>252</v>
      </c>
    </row>
    <row r="17" customFormat="false" ht="15" hidden="false" customHeight="false" outlineLevel="0" collapsed="false">
      <c r="B17" s="8" t="s">
        <v>253</v>
      </c>
      <c r="C17" s="14" t="n">
        <v>2885</v>
      </c>
      <c r="D17" s="14" t="n">
        <v>2067</v>
      </c>
      <c r="E17" s="14" t="n">
        <v>3274</v>
      </c>
      <c r="F17" s="14" t="n">
        <v>3227</v>
      </c>
      <c r="G17" s="15" t="s">
        <v>254</v>
      </c>
    </row>
    <row r="18" customFormat="false" ht="15" hidden="false" customHeight="false" outlineLevel="0" collapsed="false">
      <c r="B18" s="8" t="s">
        <v>255</v>
      </c>
      <c r="C18" s="14" t="n">
        <v>69891</v>
      </c>
      <c r="D18" s="14" t="n">
        <v>68251</v>
      </c>
      <c r="E18" s="14" t="n">
        <v>84940</v>
      </c>
      <c r="F18" s="14" t="n">
        <v>84105</v>
      </c>
      <c r="G18" s="15" t="s">
        <v>256</v>
      </c>
    </row>
    <row r="19" customFormat="false" ht="15" hidden="false" customHeight="false" outlineLevel="0" collapsed="false">
      <c r="B19" s="8" t="s">
        <v>257</v>
      </c>
      <c r="C19" s="14" t="n">
        <v>139</v>
      </c>
      <c r="D19" s="14" t="n">
        <v>139</v>
      </c>
      <c r="E19" s="16"/>
      <c r="F19" s="16"/>
      <c r="G19" s="15" t="s">
        <v>258</v>
      </c>
    </row>
    <row r="20" customFormat="false" ht="15" hidden="false" customHeight="false" outlineLevel="0" collapsed="false">
      <c r="B20" s="8" t="s">
        <v>259</v>
      </c>
      <c r="C20" s="14" t="n">
        <v>74</v>
      </c>
      <c r="D20" s="14" t="n">
        <v>74</v>
      </c>
      <c r="E20" s="14" t="n">
        <v>74</v>
      </c>
      <c r="F20" s="14" t="n">
        <v>74</v>
      </c>
      <c r="G20" s="15" t="s">
        <v>260</v>
      </c>
    </row>
    <row r="21" customFormat="false" ht="15" hidden="false" customHeight="false" outlineLevel="0" collapsed="false">
      <c r="B21" s="8" t="s">
        <v>261</v>
      </c>
      <c r="C21" s="16"/>
      <c r="D21" s="14" t="n">
        <v>4344</v>
      </c>
      <c r="E21" s="14" t="n">
        <v>6076</v>
      </c>
      <c r="F21" s="14" t="n">
        <v>840</v>
      </c>
      <c r="G21" s="15" t="s">
        <v>262</v>
      </c>
    </row>
    <row r="22" customFormat="false" ht="15" hidden="false" customHeight="false" outlineLevel="0" collapsed="false">
      <c r="B22" s="8" t="s">
        <v>263</v>
      </c>
      <c r="C22" s="14" t="n">
        <v>889200</v>
      </c>
      <c r="D22" s="14" t="n">
        <v>856039</v>
      </c>
      <c r="E22" s="14" t="n">
        <v>872012</v>
      </c>
      <c r="F22" s="14" t="n">
        <v>1001693</v>
      </c>
      <c r="G22" s="15" t="s">
        <v>250</v>
      </c>
    </row>
    <row r="23" customFormat="false" ht="15" hidden="false" customHeight="false" outlineLevel="0" collapsed="false">
      <c r="B23" s="8" t="s">
        <v>264</v>
      </c>
      <c r="C23" s="14" t="n">
        <v>254658</v>
      </c>
      <c r="D23" s="14" t="n">
        <v>252836</v>
      </c>
      <c r="E23" s="14" t="n">
        <v>187481</v>
      </c>
      <c r="F23" s="14" t="n">
        <v>214288</v>
      </c>
      <c r="G23" s="15" t="s">
        <v>265</v>
      </c>
    </row>
    <row r="24" customFormat="false" ht="23.85" hidden="false" customHeight="false" outlineLevel="0" collapsed="false">
      <c r="B24" s="8" t="s">
        <v>266</v>
      </c>
      <c r="C24" s="14" t="n">
        <v>533189</v>
      </c>
      <c r="D24" s="14" t="n">
        <v>475025</v>
      </c>
      <c r="E24" s="14" t="n">
        <v>453480</v>
      </c>
      <c r="F24" s="14" t="n">
        <v>547838</v>
      </c>
      <c r="G24" s="15" t="s">
        <v>267</v>
      </c>
    </row>
    <row r="25" customFormat="false" ht="15" hidden="false" customHeight="false" outlineLevel="0" collapsed="false">
      <c r="B25" s="8" t="s">
        <v>268</v>
      </c>
      <c r="C25" s="14" t="n">
        <v>515711</v>
      </c>
      <c r="D25" s="14" t="n">
        <v>462838</v>
      </c>
      <c r="E25" s="14" t="n">
        <v>442561</v>
      </c>
      <c r="F25" s="14" t="n">
        <v>538288</v>
      </c>
      <c r="G25" s="15" t="s">
        <v>269</v>
      </c>
    </row>
    <row r="26" customFormat="false" ht="15" hidden="false" customHeight="false" outlineLevel="0" collapsed="false">
      <c r="B26" s="8" t="s">
        <v>270</v>
      </c>
      <c r="C26" s="14" t="n">
        <v>-400</v>
      </c>
      <c r="D26" s="14" t="n">
        <v>-643</v>
      </c>
      <c r="E26" s="14" t="n">
        <v>-444</v>
      </c>
      <c r="F26" s="14" t="n">
        <v>-439</v>
      </c>
      <c r="G26" s="15" t="s">
        <v>271</v>
      </c>
    </row>
    <row r="27" customFormat="false" ht="15" hidden="false" customHeight="false" outlineLevel="0" collapsed="false">
      <c r="B27" s="8" t="s">
        <v>272</v>
      </c>
      <c r="C27" s="16"/>
      <c r="D27" s="16"/>
      <c r="E27" s="14" t="n">
        <v>4389</v>
      </c>
      <c r="F27" s="16"/>
      <c r="G27" s="15" t="s">
        <v>273</v>
      </c>
    </row>
    <row r="28" customFormat="false" ht="23.85" hidden="false" customHeight="false" outlineLevel="0" collapsed="false">
      <c r="B28" s="8" t="s">
        <v>274</v>
      </c>
      <c r="C28" s="14" t="n">
        <v>10176</v>
      </c>
      <c r="D28" s="14" t="n">
        <v>2090</v>
      </c>
      <c r="E28" s="14" t="n">
        <v>1157</v>
      </c>
      <c r="F28" s="14" t="n">
        <v>1419</v>
      </c>
      <c r="G28" s="15" t="s">
        <v>275</v>
      </c>
    </row>
    <row r="29" customFormat="false" ht="15" hidden="false" customHeight="false" outlineLevel="0" collapsed="false">
      <c r="B29" s="8" t="s">
        <v>276</v>
      </c>
      <c r="C29" s="14" t="n">
        <v>18351</v>
      </c>
      <c r="D29" s="14" t="n">
        <v>9082</v>
      </c>
      <c r="E29" s="14" t="n">
        <v>6146</v>
      </c>
      <c r="F29" s="14" t="n">
        <v>6690</v>
      </c>
      <c r="G29" s="15" t="s">
        <v>277</v>
      </c>
    </row>
    <row r="30" customFormat="false" ht="23.85" hidden="false" customHeight="false" outlineLevel="0" collapsed="false">
      <c r="B30" s="8" t="s">
        <v>278</v>
      </c>
      <c r="C30" s="14" t="n">
        <v>21566</v>
      </c>
      <c r="D30" s="14" t="n">
        <v>70099</v>
      </c>
      <c r="E30" s="14" t="n">
        <v>178156</v>
      </c>
      <c r="F30" s="14" t="n">
        <v>180632</v>
      </c>
      <c r="G30" s="15" t="s">
        <v>279</v>
      </c>
    </row>
    <row r="31" customFormat="false" ht="23.85" hidden="false" customHeight="false" outlineLevel="0" collapsed="false">
      <c r="B31" s="8" t="s">
        <v>280</v>
      </c>
      <c r="C31" s="14" t="n">
        <v>51260</v>
      </c>
      <c r="D31" s="14" t="n">
        <v>46907</v>
      </c>
      <c r="E31" s="14" t="n">
        <v>41203</v>
      </c>
      <c r="F31" s="14" t="n">
        <v>50826</v>
      </c>
      <c r="G31" s="15" t="s">
        <v>281</v>
      </c>
    </row>
    <row r="32" customFormat="false" ht="15" hidden="false" customHeight="false" outlineLevel="0" collapsed="false">
      <c r="B32" s="8" t="s">
        <v>282</v>
      </c>
      <c r="C32" s="14" t="n">
        <v>1252152</v>
      </c>
      <c r="D32" s="14" t="n">
        <v>1293542</v>
      </c>
      <c r="E32" s="14" t="n">
        <v>1340368</v>
      </c>
      <c r="F32" s="14" t="n">
        <v>1461382</v>
      </c>
      <c r="G32" s="15" t="s">
        <v>283</v>
      </c>
    </row>
    <row r="35" customFormat="false" ht="15" hidden="false" customHeight="false" outlineLevel="0" collapsed="false">
      <c r="B35" s="3" t="s">
        <v>137</v>
      </c>
    </row>
    <row r="36" customFormat="false" ht="15" hidden="false" customHeight="false" outlineLevel="0" collapsed="false">
      <c r="B36" s="2" t="s">
        <v>138</v>
      </c>
    </row>
    <row r="37" customFormat="false" ht="15" hidden="false" customHeight="false" outlineLevel="0" collapsed="false">
      <c r="B37" s="13" t="s">
        <v>139</v>
      </c>
      <c r="C37" s="13" t="s">
        <v>70</v>
      </c>
      <c r="D37" s="13" t="s">
        <v>71</v>
      </c>
      <c r="E37" s="13" t="s">
        <v>72</v>
      </c>
      <c r="F37" s="13" t="s">
        <v>175</v>
      </c>
      <c r="G37" s="13" t="s">
        <v>140</v>
      </c>
    </row>
    <row r="38" customFormat="false" ht="15" hidden="false" customHeight="false" outlineLevel="0" collapsed="false">
      <c r="B38" s="17" t="s">
        <v>141</v>
      </c>
      <c r="C38" s="18" t="s">
        <v>284</v>
      </c>
      <c r="D38" s="18" t="s">
        <v>285</v>
      </c>
      <c r="E38" s="18" t="s">
        <v>286</v>
      </c>
      <c r="F38" s="18" t="s">
        <v>287</v>
      </c>
      <c r="G38" s="19" t="s">
        <v>145</v>
      </c>
    </row>
    <row r="39" customFormat="false" ht="15" hidden="false" customHeight="false" outlineLevel="0" collapsed="false">
      <c r="B39" s="20" t="s">
        <v>146</v>
      </c>
      <c r="C39" s="21"/>
      <c r="D39" s="21"/>
      <c r="E39" s="21"/>
      <c r="F39" s="21"/>
      <c r="G39" s="21"/>
    </row>
    <row r="40" customFormat="false" ht="15" hidden="false" customHeight="false" outlineLevel="0" collapsed="false">
      <c r="B40" s="17" t="s">
        <v>147</v>
      </c>
      <c r="C40" s="22"/>
      <c r="D40" s="22"/>
      <c r="E40" s="22"/>
      <c r="F40" s="22"/>
      <c r="G40" s="23" t="s">
        <v>148</v>
      </c>
    </row>
    <row r="41" customFormat="false" ht="15" hidden="false" customHeight="false" outlineLevel="0" collapsed="false">
      <c r="B41" s="17" t="s">
        <v>149</v>
      </c>
      <c r="C41" s="22"/>
      <c r="D41" s="22"/>
      <c r="E41" s="22"/>
      <c r="F41" s="22"/>
      <c r="G41" s="23" t="s">
        <v>148</v>
      </c>
    </row>
    <row r="42" customFormat="false" ht="15" hidden="false" customHeight="false" outlineLevel="0" collapsed="false">
      <c r="B42" s="17" t="s">
        <v>150</v>
      </c>
      <c r="C42" s="22"/>
      <c r="D42" s="22"/>
      <c r="E42" s="22"/>
      <c r="F42" s="22"/>
      <c r="G42" s="23" t="s">
        <v>148</v>
      </c>
    </row>
    <row r="43" customFormat="false" ht="15" hidden="false" customHeight="false" outlineLevel="0" collapsed="false">
      <c r="B43" s="17" t="s">
        <v>151</v>
      </c>
      <c r="C43" s="22"/>
      <c r="D43" s="22"/>
      <c r="E43" s="22"/>
      <c r="F43" s="22"/>
      <c r="G43" s="23" t="s">
        <v>148</v>
      </c>
    </row>
    <row r="44" customFormat="false" ht="15" hidden="false" customHeight="false" outlineLevel="0" collapsed="false">
      <c r="B44" s="20" t="s">
        <v>152</v>
      </c>
      <c r="C44" s="21"/>
      <c r="D44" s="21"/>
      <c r="E44" s="21"/>
      <c r="F44" s="21"/>
      <c r="G44" s="21"/>
    </row>
    <row r="45" customFormat="false" ht="15" hidden="false" customHeight="false" outlineLevel="0" collapsed="false">
      <c r="B45" s="17" t="s">
        <v>153</v>
      </c>
      <c r="C45" s="14" t="n">
        <v>515311</v>
      </c>
      <c r="D45" s="14" t="n">
        <v>462195</v>
      </c>
      <c r="E45" s="14" t="n">
        <v>442117</v>
      </c>
      <c r="F45" s="14" t="n">
        <v>537849</v>
      </c>
      <c r="G45" s="19" t="s">
        <v>145</v>
      </c>
    </row>
    <row r="46" customFormat="false" ht="15" hidden="false" customHeight="false" outlineLevel="0" collapsed="false">
      <c r="B46" s="24" t="s">
        <v>154</v>
      </c>
      <c r="C46" s="22"/>
      <c r="D46" s="22"/>
      <c r="E46" s="22"/>
      <c r="F46" s="22"/>
      <c r="G46" s="23" t="s">
        <v>148</v>
      </c>
    </row>
    <row r="47" customFormat="false" ht="15" hidden="false" customHeight="false" outlineLevel="0" collapsed="false">
      <c r="B47" s="24" t="s">
        <v>155</v>
      </c>
      <c r="C47" s="14" t="n">
        <v>-400</v>
      </c>
      <c r="D47" s="14" t="n">
        <v>-643</v>
      </c>
      <c r="E47" s="14" t="n">
        <v>-444</v>
      </c>
      <c r="F47" s="14" t="n">
        <v>-439</v>
      </c>
      <c r="G47" s="19" t="s">
        <v>145</v>
      </c>
    </row>
    <row r="48" customFormat="false" ht="15" hidden="false" customHeight="false" outlineLevel="0" collapsed="false">
      <c r="B48" s="17" t="s">
        <v>156</v>
      </c>
      <c r="C48" s="14" t="n">
        <v>254658</v>
      </c>
      <c r="D48" s="14" t="n">
        <v>252836</v>
      </c>
      <c r="E48" s="14" t="n">
        <v>187481</v>
      </c>
      <c r="F48" s="14" t="n">
        <v>214288</v>
      </c>
      <c r="G48" s="19" t="s">
        <v>145</v>
      </c>
    </row>
    <row r="49" customFormat="false" ht="15" hidden="false" customHeight="false" outlineLevel="0" collapsed="false">
      <c r="B49" s="24" t="s">
        <v>157</v>
      </c>
      <c r="C49" s="22"/>
      <c r="D49" s="22"/>
      <c r="E49" s="22"/>
      <c r="F49" s="22"/>
      <c r="G49" s="23" t="s">
        <v>148</v>
      </c>
    </row>
    <row r="50" customFormat="false" ht="15" hidden="false" customHeight="false" outlineLevel="0" collapsed="false">
      <c r="B50" s="24" t="s">
        <v>158</v>
      </c>
      <c r="C50" s="22"/>
      <c r="D50" s="22"/>
      <c r="E50" s="22"/>
      <c r="F50" s="22"/>
      <c r="G50" s="23" t="s">
        <v>148</v>
      </c>
    </row>
    <row r="51" customFormat="false" ht="15" hidden="false" customHeight="false" outlineLevel="0" collapsed="false">
      <c r="B51" s="24" t="s">
        <v>159</v>
      </c>
      <c r="C51" s="22"/>
      <c r="D51" s="22"/>
      <c r="E51" s="22"/>
      <c r="F51" s="22"/>
      <c r="G51" s="23" t="s">
        <v>148</v>
      </c>
    </row>
    <row r="52" customFormat="false" ht="15" hidden="false" customHeight="false" outlineLevel="0" collapsed="false">
      <c r="B52" s="17" t="s">
        <v>160</v>
      </c>
      <c r="C52" s="22"/>
      <c r="D52" s="22"/>
      <c r="E52" s="22"/>
      <c r="F52" s="22"/>
      <c r="G52" s="23" t="s">
        <v>148</v>
      </c>
    </row>
    <row r="53" customFormat="false" ht="15" hidden="false" customHeight="false" outlineLevel="0" collapsed="false">
      <c r="B53" s="24" t="s">
        <v>161</v>
      </c>
      <c r="C53" s="22"/>
      <c r="D53" s="22"/>
      <c r="E53" s="22"/>
      <c r="F53" s="22"/>
      <c r="G53" s="23" t="s">
        <v>148</v>
      </c>
    </row>
    <row r="54" customFormat="false" ht="15" hidden="false" customHeight="false" outlineLevel="0" collapsed="false">
      <c r="B54" s="17" t="s">
        <v>162</v>
      </c>
      <c r="C54" s="22"/>
      <c r="D54" s="22"/>
      <c r="E54" s="22"/>
      <c r="F54" s="22"/>
      <c r="G54" s="23" t="s">
        <v>148</v>
      </c>
    </row>
    <row r="55" customFormat="false" ht="15" hidden="false" customHeight="false" outlineLevel="0" collapsed="false">
      <c r="B55" s="20" t="s">
        <v>163</v>
      </c>
      <c r="C55" s="21"/>
      <c r="D55" s="21"/>
      <c r="E55" s="21"/>
      <c r="F55" s="21"/>
      <c r="G55" s="21"/>
    </row>
    <row r="56" customFormat="false" ht="15" hidden="false" customHeight="false" outlineLevel="0" collapsed="false">
      <c r="B56" s="17" t="s">
        <v>164</v>
      </c>
      <c r="C56" s="14" t="n">
        <v>1252152</v>
      </c>
      <c r="D56" s="14" t="n">
        <v>1293542</v>
      </c>
      <c r="E56" s="14" t="n">
        <v>1340368</v>
      </c>
      <c r="F56" s="14" t="n">
        <v>1461382</v>
      </c>
      <c r="G56" s="19" t="s">
        <v>145</v>
      </c>
    </row>
    <row r="57" customFormat="false" ht="15" hidden="false" customHeight="false" outlineLevel="0" collapsed="false">
      <c r="B57" s="17" t="s">
        <v>165</v>
      </c>
      <c r="C57" s="22"/>
      <c r="D57" s="22"/>
      <c r="E57" s="22"/>
      <c r="F57" s="22"/>
      <c r="G57" s="23" t="s">
        <v>148</v>
      </c>
    </row>
    <row r="60" customFormat="false" ht="15" hidden="false" customHeight="false" outlineLevel="0" collapsed="false">
      <c r="B60" s="3" t="s">
        <v>166</v>
      </c>
    </row>
    <row r="61" customFormat="false" ht="27.75" hidden="false" customHeight="true" outlineLevel="0" collapsed="false">
      <c r="B61" s="25" t="s">
        <v>288</v>
      </c>
      <c r="C61" s="25"/>
      <c r="D61" s="25"/>
      <c r="E61" s="25"/>
      <c r="F61" s="25"/>
      <c r="G61" s="25"/>
    </row>
    <row r="62" customFormat="false" ht="27.75" hidden="false" customHeight="true" outlineLevel="0" collapsed="false">
      <c r="B62" s="25" t="s">
        <v>289</v>
      </c>
      <c r="C62" s="25"/>
      <c r="D62" s="25"/>
      <c r="E62" s="25"/>
      <c r="F62" s="25"/>
      <c r="G62" s="25"/>
    </row>
    <row r="63" customFormat="false" ht="27.75" hidden="false" customHeight="true" outlineLevel="0" collapsed="false">
      <c r="B63" s="25" t="s">
        <v>290</v>
      </c>
      <c r="C63" s="25"/>
      <c r="D63" s="25"/>
      <c r="E63" s="25"/>
      <c r="F63" s="25"/>
      <c r="G63" s="25"/>
    </row>
    <row r="64" customFormat="false" ht="27.75" hidden="false" customHeight="true" outlineLevel="0" collapsed="false">
      <c r="B64" s="25" t="s">
        <v>291</v>
      </c>
      <c r="C64" s="25"/>
      <c r="D64" s="25"/>
      <c r="E64" s="25"/>
      <c r="F64" s="25"/>
      <c r="G64" s="25"/>
    </row>
    <row r="65" customFormat="false" ht="27.75" hidden="false" customHeight="true" outlineLevel="0" collapsed="false">
      <c r="B65" s="25" t="s">
        <v>171</v>
      </c>
      <c r="C65" s="25"/>
      <c r="D65" s="25"/>
      <c r="E65" s="25"/>
      <c r="F65" s="25"/>
      <c r="G65" s="25"/>
    </row>
  </sheetData>
  <mergeCells count="10">
    <mergeCell ref="C6:E6"/>
    <mergeCell ref="C7:E7"/>
    <mergeCell ref="C8:E8"/>
    <mergeCell ref="C9:E9"/>
    <mergeCell ref="C10:E10"/>
    <mergeCell ref="B61:G61"/>
    <mergeCell ref="B62:G62"/>
    <mergeCell ref="B63:G63"/>
    <mergeCell ref="B64:G64"/>
    <mergeCell ref="B65:G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7"/>
    <col collapsed="false" customWidth="true" hidden="false" outlineLevel="0" max="7" min="7" style="0" width="46"/>
  </cols>
  <sheetData>
    <row r="2" customFormat="false" ht="17.35" hidden="false" customHeight="false" outlineLevel="0" collapsed="false">
      <c r="B2" s="1" t="s">
        <v>292</v>
      </c>
    </row>
    <row r="3" customFormat="false" ht="15" hidden="false" customHeight="false" outlineLevel="0" collapsed="false">
      <c r="B3" s="2" t="s">
        <v>293</v>
      </c>
    </row>
    <row r="5" customFormat="false" ht="15" hidden="false" customHeight="false" outlineLevel="0" collapsed="false">
      <c r="B5" s="3" t="s">
        <v>63</v>
      </c>
    </row>
    <row r="6" customFormat="false" ht="15" hidden="false" customHeight="false" outlineLevel="0" collapsed="false">
      <c r="B6" s="12" t="s">
        <v>5</v>
      </c>
      <c r="C6" s="9" t="s">
        <v>294</v>
      </c>
      <c r="D6" s="9"/>
      <c r="E6" s="9"/>
    </row>
    <row r="7" customFormat="false" ht="15" hidden="false" customHeight="false" outlineLevel="0" collapsed="false">
      <c r="B7" s="12" t="s">
        <v>6</v>
      </c>
      <c r="C7" s="9" t="s">
        <v>31</v>
      </c>
      <c r="D7" s="9"/>
      <c r="E7" s="9"/>
    </row>
    <row r="8" customFormat="false" ht="15" hidden="false" customHeight="false" outlineLevel="0" collapsed="false">
      <c r="B8" s="12" t="s">
        <v>7</v>
      </c>
      <c r="C8" s="9" t="s">
        <v>32</v>
      </c>
      <c r="D8" s="9"/>
      <c r="E8" s="9"/>
    </row>
    <row r="9" customFormat="false" ht="15" hidden="false" customHeight="false" outlineLevel="0" collapsed="false">
      <c r="B9" s="12" t="s">
        <v>64</v>
      </c>
      <c r="C9" s="9" t="s">
        <v>295</v>
      </c>
      <c r="D9" s="9"/>
      <c r="E9" s="9"/>
    </row>
    <row r="10" customFormat="false" ht="15" hidden="false" customHeight="false" outlineLevel="0" collapsed="false">
      <c r="B10" s="12" t="s">
        <v>66</v>
      </c>
      <c r="C10" s="9" t="s">
        <v>296</v>
      </c>
      <c r="D10" s="9"/>
      <c r="E10" s="9"/>
    </row>
    <row r="12" customFormat="false" ht="15" hidden="false" customHeight="false" outlineLevel="0" collapsed="false">
      <c r="B12" s="3" t="s">
        <v>68</v>
      </c>
    </row>
    <row r="13" customFormat="false" ht="15" hidden="false" customHeight="false" outlineLevel="0" collapsed="false">
      <c r="B13" s="13" t="s">
        <v>69</v>
      </c>
      <c r="C13" s="13" t="s">
        <v>70</v>
      </c>
      <c r="D13" s="13" t="s">
        <v>71</v>
      </c>
      <c r="E13" s="13" t="s">
        <v>72</v>
      </c>
      <c r="F13" s="13" t="s">
        <v>175</v>
      </c>
      <c r="G13" s="13" t="s">
        <v>73</v>
      </c>
    </row>
    <row r="14" customFormat="false" ht="15" hidden="false" customHeight="false" outlineLevel="0" collapsed="false">
      <c r="B14" s="8" t="s">
        <v>297</v>
      </c>
      <c r="C14" s="14" t="n">
        <v>30721</v>
      </c>
      <c r="D14" s="14" t="n">
        <v>36644</v>
      </c>
      <c r="E14" s="14" t="n">
        <v>40987</v>
      </c>
      <c r="F14" s="14" t="n">
        <v>40097</v>
      </c>
      <c r="G14" s="15" t="s">
        <v>298</v>
      </c>
    </row>
    <row r="15" customFormat="false" ht="15" hidden="false" customHeight="false" outlineLevel="0" collapsed="false">
      <c r="B15" s="8" t="s">
        <v>299</v>
      </c>
      <c r="C15" s="14" t="n">
        <v>6822</v>
      </c>
      <c r="D15" s="14" t="n">
        <v>8775</v>
      </c>
      <c r="E15" s="14" t="n">
        <v>9958</v>
      </c>
      <c r="F15" s="14" t="n">
        <v>12029</v>
      </c>
      <c r="G15" s="15" t="s">
        <v>300</v>
      </c>
    </row>
    <row r="16" customFormat="false" ht="15" hidden="false" customHeight="false" outlineLevel="0" collapsed="false">
      <c r="B16" s="8" t="s">
        <v>301</v>
      </c>
      <c r="C16" s="14" t="n">
        <v>32</v>
      </c>
      <c r="D16" s="14" t="n">
        <v>99</v>
      </c>
      <c r="E16" s="14" t="n">
        <v>19</v>
      </c>
      <c r="F16" s="14" t="n">
        <v>1</v>
      </c>
      <c r="G16" s="15" t="s">
        <v>302</v>
      </c>
    </row>
    <row r="17" customFormat="false" ht="15" hidden="false" customHeight="false" outlineLevel="0" collapsed="false">
      <c r="B17" s="8" t="s">
        <v>303</v>
      </c>
      <c r="C17" s="14" t="n">
        <v>631</v>
      </c>
      <c r="D17" s="14" t="n">
        <v>1044</v>
      </c>
      <c r="E17" s="14" t="n">
        <v>1126</v>
      </c>
      <c r="F17" s="14" t="n">
        <v>1347</v>
      </c>
      <c r="G17" s="15" t="s">
        <v>304</v>
      </c>
    </row>
    <row r="18" customFormat="false" ht="15" hidden="false" customHeight="false" outlineLevel="0" collapsed="false">
      <c r="B18" s="8" t="s">
        <v>305</v>
      </c>
      <c r="C18" s="14" t="n">
        <v>14007</v>
      </c>
      <c r="D18" s="14" t="n">
        <v>15728</v>
      </c>
      <c r="E18" s="14" t="n">
        <v>18561</v>
      </c>
      <c r="F18" s="14" t="n">
        <v>15734</v>
      </c>
      <c r="G18" s="15" t="s">
        <v>306</v>
      </c>
    </row>
    <row r="19" customFormat="false" ht="23.85" hidden="false" customHeight="false" outlineLevel="0" collapsed="false">
      <c r="B19" s="8" t="s">
        <v>307</v>
      </c>
      <c r="C19" s="14" t="n">
        <v>1896</v>
      </c>
      <c r="D19" s="14" t="n">
        <v>1322</v>
      </c>
      <c r="E19" s="14" t="n">
        <v>2061</v>
      </c>
      <c r="F19" s="14" t="n">
        <v>1771</v>
      </c>
      <c r="G19" s="15" t="s">
        <v>308</v>
      </c>
    </row>
    <row r="20" customFormat="false" ht="15" hidden="false" customHeight="false" outlineLevel="0" collapsed="false">
      <c r="B20" s="8" t="s">
        <v>309</v>
      </c>
      <c r="C20" s="14" t="n">
        <v>3306</v>
      </c>
      <c r="D20" s="14" t="n">
        <v>4580</v>
      </c>
      <c r="E20" s="14" t="n">
        <v>4340</v>
      </c>
      <c r="F20" s="14" t="n">
        <v>4044</v>
      </c>
      <c r="G20" s="15" t="s">
        <v>310</v>
      </c>
    </row>
    <row r="21" customFormat="false" ht="15" hidden="false" customHeight="false" outlineLevel="0" collapsed="false">
      <c r="B21" s="8" t="s">
        <v>311</v>
      </c>
      <c r="C21" s="14" t="n">
        <v>1777</v>
      </c>
      <c r="D21" s="14" t="n">
        <v>1763</v>
      </c>
      <c r="E21" s="14" t="n">
        <v>1956</v>
      </c>
      <c r="F21" s="14" t="n">
        <v>2066</v>
      </c>
      <c r="G21" s="15" t="s">
        <v>310</v>
      </c>
    </row>
    <row r="22" customFormat="false" ht="15" hidden="false" customHeight="false" outlineLevel="0" collapsed="false">
      <c r="B22" s="8" t="s">
        <v>312</v>
      </c>
      <c r="C22" s="14" t="n">
        <v>2248</v>
      </c>
      <c r="D22" s="14" t="n">
        <v>3329</v>
      </c>
      <c r="E22" s="14" t="n">
        <v>2963</v>
      </c>
      <c r="F22" s="14" t="n">
        <v>3101</v>
      </c>
      <c r="G22" s="15" t="s">
        <v>310</v>
      </c>
    </row>
    <row r="23" customFormat="false" ht="23.85" hidden="false" customHeight="false" outlineLevel="0" collapsed="false">
      <c r="B23" s="8" t="s">
        <v>313</v>
      </c>
      <c r="C23" s="14" t="n">
        <v>0</v>
      </c>
      <c r="D23" s="16"/>
      <c r="E23" s="16"/>
      <c r="F23" s="16"/>
      <c r="G23" s="15" t="s">
        <v>314</v>
      </c>
    </row>
    <row r="24" customFormat="false" ht="15" hidden="false" customHeight="false" outlineLevel="0" collapsed="false">
      <c r="B24" s="8" t="s">
        <v>315</v>
      </c>
      <c r="C24" s="14" t="n">
        <v>27687</v>
      </c>
      <c r="D24" s="14" t="n">
        <v>28935</v>
      </c>
      <c r="E24" s="14" t="n">
        <v>33942</v>
      </c>
      <c r="F24" s="14" t="n">
        <v>35954</v>
      </c>
      <c r="G24" s="15" t="s">
        <v>316</v>
      </c>
    </row>
    <row r="25" customFormat="false" ht="23.85" hidden="false" customHeight="false" outlineLevel="0" collapsed="false">
      <c r="B25" s="8" t="s">
        <v>317</v>
      </c>
      <c r="C25" s="14" t="n">
        <v>26595</v>
      </c>
      <c r="D25" s="14" t="n">
        <v>27824</v>
      </c>
      <c r="E25" s="14" t="n">
        <v>32108</v>
      </c>
      <c r="F25" s="14" t="n">
        <v>34090</v>
      </c>
      <c r="G25" s="15" t="s">
        <v>318</v>
      </c>
    </row>
    <row r="26" customFormat="false" ht="15" hidden="false" customHeight="false" outlineLevel="0" collapsed="false">
      <c r="B26" s="8" t="s">
        <v>319</v>
      </c>
      <c r="C26" s="14" t="n">
        <v>9157</v>
      </c>
      <c r="D26" s="14" t="n">
        <v>10038</v>
      </c>
      <c r="E26" s="14" t="n">
        <v>11457</v>
      </c>
      <c r="F26" s="14" t="n">
        <v>10793</v>
      </c>
      <c r="G26" s="15" t="s">
        <v>320</v>
      </c>
    </row>
    <row r="27" customFormat="false" ht="15" hidden="false" customHeight="false" outlineLevel="0" collapsed="false">
      <c r="B27" s="8" t="s">
        <v>321</v>
      </c>
      <c r="C27" s="14" t="n">
        <v>9505</v>
      </c>
      <c r="D27" s="14" t="n">
        <v>9546</v>
      </c>
      <c r="E27" s="14" t="n">
        <v>11444</v>
      </c>
      <c r="F27" s="14" t="n">
        <v>11722</v>
      </c>
      <c r="G27" s="15" t="s">
        <v>322</v>
      </c>
    </row>
    <row r="28" customFormat="false" ht="15" hidden="false" customHeight="false" outlineLevel="0" collapsed="false">
      <c r="B28" s="8" t="s">
        <v>323</v>
      </c>
      <c r="C28" s="14" t="n">
        <v>1977</v>
      </c>
      <c r="D28" s="14" t="n">
        <v>1881</v>
      </c>
      <c r="E28" s="14" t="n">
        <v>2048</v>
      </c>
      <c r="F28" s="14" t="n">
        <v>2378</v>
      </c>
      <c r="G28" s="15" t="s">
        <v>324</v>
      </c>
    </row>
    <row r="29" customFormat="false" ht="15" hidden="false" customHeight="false" outlineLevel="0" collapsed="false">
      <c r="B29" s="8" t="s">
        <v>325</v>
      </c>
      <c r="C29" s="14" t="n">
        <v>4977</v>
      </c>
      <c r="D29" s="14" t="n">
        <v>5072</v>
      </c>
      <c r="E29" s="14" t="n">
        <v>6599</v>
      </c>
      <c r="F29" s="14" t="n">
        <v>6445</v>
      </c>
      <c r="G29" s="15" t="s">
        <v>326</v>
      </c>
    </row>
    <row r="30" customFormat="false" ht="15" hidden="false" customHeight="false" outlineLevel="0" collapsed="false">
      <c r="B30" s="8" t="s">
        <v>327</v>
      </c>
      <c r="C30" s="14" t="n">
        <v>977</v>
      </c>
      <c r="D30" s="14" t="n">
        <v>1285</v>
      </c>
      <c r="E30" s="14" t="n">
        <v>557</v>
      </c>
      <c r="F30" s="14" t="n">
        <v>2750</v>
      </c>
      <c r="G30" s="15" t="s">
        <v>328</v>
      </c>
    </row>
    <row r="31" customFormat="false" ht="15" hidden="false" customHeight="false" outlineLevel="0" collapsed="false">
      <c r="B31" s="8" t="s">
        <v>329</v>
      </c>
      <c r="C31" s="14" t="n">
        <v>526</v>
      </c>
      <c r="D31" s="14" t="n">
        <v>534</v>
      </c>
      <c r="E31" s="14" t="n">
        <v>507</v>
      </c>
      <c r="F31" s="14" t="n">
        <v>414</v>
      </c>
      <c r="G31" s="15" t="s">
        <v>330</v>
      </c>
    </row>
    <row r="32" customFormat="false" ht="15" hidden="false" customHeight="false" outlineLevel="0" collapsed="false">
      <c r="B32" s="8" t="s">
        <v>331</v>
      </c>
      <c r="C32" s="14" t="n">
        <v>109</v>
      </c>
      <c r="D32" s="14" t="n">
        <v>80</v>
      </c>
      <c r="E32" s="14" t="n">
        <v>47</v>
      </c>
      <c r="F32" s="16"/>
      <c r="G32" s="15" t="s">
        <v>332</v>
      </c>
    </row>
    <row r="33" customFormat="false" ht="15" hidden="false" customHeight="false" outlineLevel="0" collapsed="false">
      <c r="B33" s="8" t="s">
        <v>333</v>
      </c>
      <c r="C33" s="14" t="n">
        <v>416</v>
      </c>
      <c r="D33" s="14" t="n">
        <v>453</v>
      </c>
      <c r="E33" s="14" t="n">
        <v>460</v>
      </c>
      <c r="F33" s="14" t="n">
        <v>414</v>
      </c>
      <c r="G33" s="15" t="s">
        <v>330</v>
      </c>
    </row>
    <row r="34" customFormat="false" ht="15" hidden="false" customHeight="false" outlineLevel="0" collapsed="false">
      <c r="B34" s="8" t="s">
        <v>334</v>
      </c>
      <c r="C34" s="14" t="n">
        <v>566</v>
      </c>
      <c r="D34" s="14" t="n">
        <v>577</v>
      </c>
      <c r="E34" s="14" t="n">
        <v>1327</v>
      </c>
      <c r="F34" s="14" t="n">
        <v>1450</v>
      </c>
      <c r="G34" s="15" t="s">
        <v>335</v>
      </c>
    </row>
    <row r="35" customFormat="false" ht="15" hidden="false" customHeight="false" outlineLevel="0" collapsed="false">
      <c r="B35" s="8" t="s">
        <v>336</v>
      </c>
      <c r="C35" s="14" t="n">
        <v>18</v>
      </c>
      <c r="D35" s="14" t="n">
        <v>17</v>
      </c>
      <c r="E35" s="14" t="n">
        <v>24</v>
      </c>
      <c r="F35" s="14" t="n">
        <v>22</v>
      </c>
      <c r="G35" s="15" t="s">
        <v>330</v>
      </c>
    </row>
    <row r="36" customFormat="false" ht="15" hidden="false" customHeight="false" outlineLevel="0" collapsed="false">
      <c r="B36" s="8" t="s">
        <v>337</v>
      </c>
      <c r="C36" s="14" t="n">
        <v>350</v>
      </c>
      <c r="D36" s="14" t="n">
        <v>353</v>
      </c>
      <c r="E36" s="14" t="n">
        <v>326</v>
      </c>
      <c r="F36" s="14" t="n">
        <v>238</v>
      </c>
      <c r="G36" s="15" t="s">
        <v>330</v>
      </c>
    </row>
    <row r="37" customFormat="false" ht="15" hidden="false" customHeight="false" outlineLevel="0" collapsed="false">
      <c r="B37" s="8" t="s">
        <v>338</v>
      </c>
      <c r="C37" s="16"/>
      <c r="D37" s="16"/>
      <c r="E37" s="14" t="n">
        <v>630</v>
      </c>
      <c r="F37" s="14" t="n">
        <v>785</v>
      </c>
      <c r="G37" s="15" t="s">
        <v>339</v>
      </c>
    </row>
    <row r="38" customFormat="false" ht="15" hidden="false" customHeight="false" outlineLevel="0" collapsed="false">
      <c r="B38" s="8" t="s">
        <v>340</v>
      </c>
      <c r="C38" s="14" t="n">
        <v>196</v>
      </c>
      <c r="D38" s="14" t="n">
        <v>205</v>
      </c>
      <c r="E38" s="14" t="n">
        <v>345</v>
      </c>
      <c r="F38" s="14" t="n">
        <v>404</v>
      </c>
      <c r="G38" s="15" t="s">
        <v>330</v>
      </c>
    </row>
    <row r="39" customFormat="false" ht="15" hidden="false" customHeight="false" outlineLevel="0" collapsed="false">
      <c r="B39" s="8" t="s">
        <v>282</v>
      </c>
      <c r="C39" s="14" t="n">
        <v>58409</v>
      </c>
      <c r="D39" s="14" t="n">
        <v>65580</v>
      </c>
      <c r="E39" s="14" t="n">
        <v>74930</v>
      </c>
      <c r="F39" s="14" t="n">
        <v>76052</v>
      </c>
      <c r="G39" s="15" t="s">
        <v>341</v>
      </c>
    </row>
    <row r="42" customFormat="false" ht="15" hidden="false" customHeight="false" outlineLevel="0" collapsed="false">
      <c r="B42" s="3" t="s">
        <v>137</v>
      </c>
    </row>
    <row r="43" customFormat="false" ht="15" hidden="false" customHeight="false" outlineLevel="0" collapsed="false">
      <c r="B43" s="2" t="s">
        <v>138</v>
      </c>
    </row>
    <row r="44" customFormat="false" ht="15" hidden="false" customHeight="false" outlineLevel="0" collapsed="false">
      <c r="B44" s="13" t="s">
        <v>139</v>
      </c>
      <c r="C44" s="13" t="s">
        <v>70</v>
      </c>
      <c r="D44" s="13" t="s">
        <v>71</v>
      </c>
      <c r="E44" s="13" t="s">
        <v>72</v>
      </c>
      <c r="F44" s="13" t="s">
        <v>175</v>
      </c>
      <c r="G44" s="13" t="s">
        <v>140</v>
      </c>
    </row>
    <row r="45" customFormat="false" ht="15" hidden="false" customHeight="false" outlineLevel="0" collapsed="false">
      <c r="B45" s="17" t="s">
        <v>141</v>
      </c>
      <c r="C45" s="22"/>
      <c r="D45" s="22"/>
      <c r="E45" s="22"/>
      <c r="F45" s="22"/>
      <c r="G45" s="23" t="s">
        <v>148</v>
      </c>
    </row>
    <row r="46" customFormat="false" ht="15" hidden="false" customHeight="false" outlineLevel="0" collapsed="false">
      <c r="B46" s="20" t="s">
        <v>146</v>
      </c>
      <c r="C46" s="21"/>
      <c r="D46" s="21"/>
      <c r="E46" s="21"/>
      <c r="F46" s="21"/>
      <c r="G46" s="21"/>
    </row>
    <row r="47" customFormat="false" ht="15" hidden="false" customHeight="false" outlineLevel="0" collapsed="false">
      <c r="B47" s="17" t="s">
        <v>147</v>
      </c>
      <c r="C47" s="22"/>
      <c r="D47" s="22"/>
      <c r="E47" s="22"/>
      <c r="F47" s="22"/>
      <c r="G47" s="23" t="s">
        <v>148</v>
      </c>
    </row>
    <row r="48" customFormat="false" ht="15" hidden="false" customHeight="false" outlineLevel="0" collapsed="false">
      <c r="B48" s="17" t="s">
        <v>149</v>
      </c>
      <c r="C48" s="22"/>
      <c r="D48" s="22"/>
      <c r="E48" s="22"/>
      <c r="F48" s="22"/>
      <c r="G48" s="23" t="s">
        <v>148</v>
      </c>
    </row>
    <row r="49" customFormat="false" ht="15" hidden="false" customHeight="false" outlineLevel="0" collapsed="false">
      <c r="B49" s="17" t="s">
        <v>150</v>
      </c>
      <c r="C49" s="22"/>
      <c r="D49" s="22"/>
      <c r="E49" s="22"/>
      <c r="F49" s="22"/>
      <c r="G49" s="23" t="s">
        <v>148</v>
      </c>
    </row>
    <row r="50" customFormat="false" ht="15" hidden="false" customHeight="false" outlineLevel="0" collapsed="false">
      <c r="B50" s="17" t="s">
        <v>151</v>
      </c>
      <c r="C50" s="22"/>
      <c r="D50" s="22"/>
      <c r="E50" s="22"/>
      <c r="F50" s="22"/>
      <c r="G50" s="23" t="s">
        <v>148</v>
      </c>
    </row>
    <row r="51" customFormat="false" ht="15" hidden="false" customHeight="false" outlineLevel="0" collapsed="false">
      <c r="B51" s="20" t="s">
        <v>152</v>
      </c>
      <c r="C51" s="21"/>
      <c r="D51" s="21"/>
      <c r="E51" s="21"/>
      <c r="F51" s="21"/>
      <c r="G51" s="21"/>
    </row>
    <row r="52" customFormat="false" ht="15" hidden="false" customHeight="false" outlineLevel="0" collapsed="false">
      <c r="B52" s="17" t="s">
        <v>153</v>
      </c>
      <c r="C52" s="14" t="n">
        <v>14670</v>
      </c>
      <c r="D52" s="14" t="n">
        <v>16871</v>
      </c>
      <c r="E52" s="14" t="n">
        <v>19706</v>
      </c>
      <c r="F52" s="14" t="n">
        <v>17082</v>
      </c>
      <c r="G52" s="19" t="s">
        <v>145</v>
      </c>
    </row>
    <row r="53" customFormat="false" ht="15" hidden="false" customHeight="false" outlineLevel="0" collapsed="false">
      <c r="B53" s="24" t="s">
        <v>154</v>
      </c>
      <c r="C53" s="14" t="n">
        <v>663</v>
      </c>
      <c r="D53" s="14" t="n">
        <v>1143</v>
      </c>
      <c r="E53" s="14" t="n">
        <v>1145</v>
      </c>
      <c r="F53" s="14" t="n">
        <v>1348</v>
      </c>
      <c r="G53" s="19" t="s">
        <v>145</v>
      </c>
    </row>
    <row r="54" customFormat="false" ht="15" hidden="false" customHeight="false" outlineLevel="0" collapsed="false">
      <c r="B54" s="24" t="s">
        <v>155</v>
      </c>
      <c r="C54" s="22"/>
      <c r="D54" s="22"/>
      <c r="E54" s="22"/>
      <c r="F54" s="22"/>
      <c r="G54" s="23" t="s">
        <v>148</v>
      </c>
    </row>
    <row r="55" customFormat="false" ht="15" hidden="false" customHeight="false" outlineLevel="0" collapsed="false">
      <c r="B55" s="17" t="s">
        <v>156</v>
      </c>
      <c r="C55" s="14" t="n">
        <v>6979</v>
      </c>
      <c r="D55" s="14" t="n">
        <v>7665</v>
      </c>
      <c r="E55" s="14" t="n">
        <v>8357</v>
      </c>
      <c r="F55" s="14" t="n">
        <v>7881</v>
      </c>
      <c r="G55" s="19" t="s">
        <v>145</v>
      </c>
    </row>
    <row r="56" customFormat="false" ht="15" hidden="false" customHeight="false" outlineLevel="0" collapsed="false">
      <c r="B56" s="24" t="s">
        <v>157</v>
      </c>
      <c r="C56" s="14" t="n">
        <v>1777</v>
      </c>
      <c r="D56" s="14" t="n">
        <v>1763</v>
      </c>
      <c r="E56" s="14" t="n">
        <v>1956</v>
      </c>
      <c r="F56" s="14" t="n">
        <v>2066</v>
      </c>
      <c r="G56" s="19" t="s">
        <v>145</v>
      </c>
    </row>
    <row r="57" customFormat="false" ht="15" hidden="false" customHeight="false" outlineLevel="0" collapsed="false">
      <c r="B57" s="24" t="s">
        <v>158</v>
      </c>
      <c r="C57" s="14" t="n">
        <v>3306</v>
      </c>
      <c r="D57" s="14" t="n">
        <v>4580</v>
      </c>
      <c r="E57" s="14" t="n">
        <v>4340</v>
      </c>
      <c r="F57" s="14" t="n">
        <v>4044</v>
      </c>
      <c r="G57" s="19" t="s">
        <v>145</v>
      </c>
    </row>
    <row r="58" customFormat="false" ht="15" hidden="false" customHeight="false" outlineLevel="0" collapsed="false">
      <c r="B58" s="24" t="s">
        <v>159</v>
      </c>
      <c r="C58" s="14" t="n">
        <v>1896</v>
      </c>
      <c r="D58" s="14" t="n">
        <v>1322</v>
      </c>
      <c r="E58" s="14" t="n">
        <v>2061</v>
      </c>
      <c r="F58" s="14" t="n">
        <v>1771</v>
      </c>
      <c r="G58" s="19" t="s">
        <v>145</v>
      </c>
    </row>
    <row r="59" customFormat="false" ht="15" hidden="false" customHeight="false" outlineLevel="0" collapsed="false">
      <c r="B59" s="17" t="s">
        <v>160</v>
      </c>
      <c r="C59" s="22"/>
      <c r="D59" s="22"/>
      <c r="E59" s="22"/>
      <c r="F59" s="22"/>
      <c r="G59" s="23" t="s">
        <v>148</v>
      </c>
    </row>
    <row r="60" customFormat="false" ht="15" hidden="false" customHeight="false" outlineLevel="0" collapsed="false">
      <c r="B60" s="24" t="s">
        <v>161</v>
      </c>
      <c r="C60" s="22"/>
      <c r="D60" s="22"/>
      <c r="E60" s="22"/>
      <c r="F60" s="22"/>
      <c r="G60" s="23" t="s">
        <v>148</v>
      </c>
    </row>
    <row r="61" customFormat="false" ht="15" hidden="false" customHeight="false" outlineLevel="0" collapsed="false">
      <c r="B61" s="17" t="s">
        <v>162</v>
      </c>
      <c r="C61" s="22"/>
      <c r="D61" s="22"/>
      <c r="E61" s="22"/>
      <c r="F61" s="22"/>
      <c r="G61" s="23" t="s">
        <v>148</v>
      </c>
    </row>
    <row r="62" customFormat="false" ht="15" hidden="false" customHeight="false" outlineLevel="0" collapsed="false">
      <c r="B62" s="20" t="s">
        <v>163</v>
      </c>
      <c r="C62" s="21"/>
      <c r="D62" s="21"/>
      <c r="E62" s="21"/>
      <c r="F62" s="21"/>
      <c r="G62" s="21"/>
    </row>
    <row r="63" customFormat="false" ht="15" hidden="false" customHeight="false" outlineLevel="0" collapsed="false">
      <c r="B63" s="17" t="s">
        <v>164</v>
      </c>
      <c r="C63" s="14" t="n">
        <v>58409</v>
      </c>
      <c r="D63" s="14" t="n">
        <v>65580</v>
      </c>
      <c r="E63" s="14" t="n">
        <v>74930</v>
      </c>
      <c r="F63" s="14" t="n">
        <v>76052</v>
      </c>
      <c r="G63" s="19" t="s">
        <v>145</v>
      </c>
    </row>
    <row r="64" customFormat="false" ht="15" hidden="false" customHeight="false" outlineLevel="0" collapsed="false">
      <c r="B64" s="17" t="s">
        <v>165</v>
      </c>
      <c r="C64" s="22"/>
      <c r="D64" s="22"/>
      <c r="E64" s="22"/>
      <c r="F64" s="22"/>
      <c r="G64" s="23" t="s">
        <v>148</v>
      </c>
    </row>
    <row r="67" customFormat="false" ht="15" hidden="false" customHeight="false" outlineLevel="0" collapsed="false">
      <c r="B67" s="3" t="s">
        <v>166</v>
      </c>
    </row>
    <row r="68" customFormat="false" ht="27.75" hidden="false" customHeight="true" outlineLevel="0" collapsed="false">
      <c r="B68" s="25" t="s">
        <v>342</v>
      </c>
      <c r="C68" s="25"/>
      <c r="D68" s="25"/>
      <c r="E68" s="25"/>
      <c r="F68" s="25"/>
      <c r="G68" s="25"/>
    </row>
    <row r="69" customFormat="false" ht="27.75" hidden="false" customHeight="true" outlineLevel="0" collapsed="false">
      <c r="B69" s="25" t="s">
        <v>343</v>
      </c>
      <c r="C69" s="25"/>
      <c r="D69" s="25"/>
      <c r="E69" s="25"/>
      <c r="F69" s="25"/>
      <c r="G69" s="25"/>
    </row>
    <row r="70" customFormat="false" ht="27.75" hidden="false" customHeight="true" outlineLevel="0" collapsed="false">
      <c r="B70" s="25" t="s">
        <v>344</v>
      </c>
      <c r="C70" s="25"/>
      <c r="D70" s="25"/>
      <c r="E70" s="25"/>
      <c r="F70" s="25"/>
      <c r="G70" s="25"/>
    </row>
    <row r="71" customFormat="false" ht="27.75" hidden="false" customHeight="true" outlineLevel="0" collapsed="false">
      <c r="B71" s="25" t="s">
        <v>345</v>
      </c>
      <c r="C71" s="25"/>
      <c r="D71" s="25"/>
      <c r="E71" s="25"/>
      <c r="F71" s="25"/>
      <c r="G71" s="25"/>
    </row>
    <row r="72" customFormat="false" ht="27.75" hidden="false" customHeight="true" outlineLevel="0" collapsed="false">
      <c r="B72" s="25" t="s">
        <v>346</v>
      </c>
      <c r="C72" s="25"/>
      <c r="D72" s="25"/>
      <c r="E72" s="25"/>
      <c r="F72" s="25"/>
      <c r="G72" s="25"/>
    </row>
    <row r="73" customFormat="false" ht="27.75" hidden="false" customHeight="true" outlineLevel="0" collapsed="false">
      <c r="B73" s="25" t="s">
        <v>347</v>
      </c>
      <c r="C73" s="25"/>
      <c r="D73" s="25"/>
      <c r="E73" s="25"/>
      <c r="F73" s="25"/>
      <c r="G73" s="25"/>
    </row>
  </sheetData>
  <mergeCells count="11">
    <mergeCell ref="C6:E6"/>
    <mergeCell ref="C7:E7"/>
    <mergeCell ref="C8:E8"/>
    <mergeCell ref="C9:E9"/>
    <mergeCell ref="C10:E10"/>
    <mergeCell ref="B68:G68"/>
    <mergeCell ref="B69:G69"/>
    <mergeCell ref="B70:G70"/>
    <mergeCell ref="B71:G71"/>
    <mergeCell ref="B72:G72"/>
    <mergeCell ref="B73:G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6" min="3" style="0" width="17"/>
    <col collapsed="false" customWidth="true" hidden="false" outlineLevel="0" max="7" min="7" style="0" width="46"/>
  </cols>
  <sheetData>
    <row r="2" customFormat="false" ht="17.35" hidden="false" customHeight="false" outlineLevel="0" collapsed="false">
      <c r="B2" s="1" t="s">
        <v>348</v>
      </c>
    </row>
    <row r="3" customFormat="false" ht="15" hidden="false" customHeight="false" outlineLevel="0" collapsed="false">
      <c r="B3" s="2" t="s">
        <v>349</v>
      </c>
    </row>
    <row r="5" customFormat="false" ht="15" hidden="false" customHeight="false" outlineLevel="0" collapsed="false">
      <c r="B5" s="3" t="s">
        <v>63</v>
      </c>
    </row>
    <row r="6" customFormat="false" ht="15" hidden="false" customHeight="false" outlineLevel="0" collapsed="false">
      <c r="B6" s="12" t="s">
        <v>5</v>
      </c>
      <c r="C6" s="9" t="s">
        <v>36</v>
      </c>
      <c r="D6" s="9"/>
      <c r="E6" s="9"/>
    </row>
    <row r="7" customFormat="false" ht="15" hidden="false" customHeight="false" outlineLevel="0" collapsed="false">
      <c r="B7" s="12" t="s">
        <v>6</v>
      </c>
      <c r="C7" s="9" t="s">
        <v>37</v>
      </c>
      <c r="D7" s="9"/>
      <c r="E7" s="9"/>
    </row>
    <row r="8" customFormat="false" ht="15" hidden="false" customHeight="false" outlineLevel="0" collapsed="false">
      <c r="B8" s="12" t="s">
        <v>7</v>
      </c>
      <c r="C8" s="9" t="s">
        <v>38</v>
      </c>
      <c r="D8" s="9"/>
      <c r="E8" s="9"/>
    </row>
    <row r="9" customFormat="false" ht="15" hidden="false" customHeight="false" outlineLevel="0" collapsed="false">
      <c r="B9" s="12" t="s">
        <v>64</v>
      </c>
      <c r="C9" s="9" t="s">
        <v>350</v>
      </c>
      <c r="D9" s="9"/>
      <c r="E9" s="9"/>
    </row>
    <row r="10" customFormat="false" ht="15" hidden="false" customHeight="false" outlineLevel="0" collapsed="false">
      <c r="B10" s="12" t="s">
        <v>66</v>
      </c>
      <c r="C10" s="9" t="s">
        <v>351</v>
      </c>
      <c r="D10" s="9"/>
      <c r="E10" s="9"/>
    </row>
    <row r="12" customFormat="false" ht="15" hidden="false" customHeight="false" outlineLevel="0" collapsed="false">
      <c r="B12" s="3" t="s">
        <v>68</v>
      </c>
    </row>
    <row r="13" customFormat="false" ht="15" hidden="false" customHeight="false" outlineLevel="0" collapsed="false">
      <c r="B13" s="13" t="s">
        <v>69</v>
      </c>
      <c r="C13" s="13" t="s">
        <v>70</v>
      </c>
      <c r="D13" s="13" t="s">
        <v>71</v>
      </c>
      <c r="E13" s="13" t="s">
        <v>72</v>
      </c>
      <c r="F13" s="13" t="s">
        <v>175</v>
      </c>
      <c r="G13" s="13" t="s">
        <v>73</v>
      </c>
    </row>
    <row r="14" customFormat="false" ht="15" hidden="false" customHeight="false" outlineLevel="0" collapsed="false">
      <c r="B14" s="8" t="s">
        <v>249</v>
      </c>
      <c r="C14" s="14" t="n">
        <v>5736</v>
      </c>
      <c r="D14" s="14" t="n">
        <v>5512</v>
      </c>
      <c r="E14" s="14" t="n">
        <v>5852</v>
      </c>
      <c r="F14" s="14" t="n">
        <v>5558</v>
      </c>
      <c r="G14" s="15" t="s">
        <v>352</v>
      </c>
    </row>
    <row r="15" customFormat="false" ht="23.85" hidden="false" customHeight="false" outlineLevel="0" collapsed="false">
      <c r="B15" s="8" t="s">
        <v>353</v>
      </c>
      <c r="C15" s="14" t="n">
        <v>2472</v>
      </c>
      <c r="D15" s="14" t="n">
        <v>2401</v>
      </c>
      <c r="E15" s="14" t="n">
        <v>2526</v>
      </c>
      <c r="F15" s="14" t="n">
        <v>2172</v>
      </c>
      <c r="G15" s="15" t="s">
        <v>354</v>
      </c>
    </row>
    <row r="16" customFormat="false" ht="15" hidden="false" customHeight="false" outlineLevel="0" collapsed="false">
      <c r="B16" s="8" t="s">
        <v>355</v>
      </c>
      <c r="C16" s="14" t="n">
        <v>2163</v>
      </c>
      <c r="D16" s="14" t="n">
        <v>2140</v>
      </c>
      <c r="E16" s="14" t="n">
        <v>2290</v>
      </c>
      <c r="F16" s="14" t="n">
        <v>2010</v>
      </c>
      <c r="G16" s="15" t="s">
        <v>356</v>
      </c>
    </row>
    <row r="17" customFormat="false" ht="15" hidden="false" customHeight="false" outlineLevel="0" collapsed="false">
      <c r="B17" s="8" t="s">
        <v>357</v>
      </c>
      <c r="C17" s="14" t="n">
        <v>296</v>
      </c>
      <c r="D17" s="14" t="n">
        <v>249</v>
      </c>
      <c r="E17" s="14" t="n">
        <v>225</v>
      </c>
      <c r="F17" s="14" t="n">
        <v>151</v>
      </c>
      <c r="G17" s="15" t="s">
        <v>358</v>
      </c>
    </row>
    <row r="18" customFormat="false" ht="15" hidden="false" customHeight="false" outlineLevel="0" collapsed="false">
      <c r="B18" s="8" t="s">
        <v>359</v>
      </c>
      <c r="C18" s="14" t="n">
        <v>12</v>
      </c>
      <c r="D18" s="14" t="n">
        <v>11</v>
      </c>
      <c r="E18" s="14" t="n">
        <v>9</v>
      </c>
      <c r="F18" s="14" t="n">
        <v>9</v>
      </c>
      <c r="G18" s="15" t="s">
        <v>360</v>
      </c>
    </row>
    <row r="19" customFormat="false" ht="15" hidden="false" customHeight="false" outlineLevel="0" collapsed="false">
      <c r="B19" s="8" t="s">
        <v>361</v>
      </c>
      <c r="C19" s="14" t="n">
        <v>1</v>
      </c>
      <c r="D19" s="14" t="n">
        <v>1</v>
      </c>
      <c r="E19" s="14" t="n">
        <v>2</v>
      </c>
      <c r="F19" s="14" t="n">
        <v>2</v>
      </c>
      <c r="G19" s="15" t="s">
        <v>360</v>
      </c>
    </row>
    <row r="20" customFormat="false" ht="23.85" hidden="false" customHeight="false" outlineLevel="0" collapsed="false">
      <c r="B20" s="8" t="s">
        <v>362</v>
      </c>
      <c r="C20" s="14" t="n">
        <v>2869</v>
      </c>
      <c r="D20" s="14" t="n">
        <v>2812</v>
      </c>
      <c r="E20" s="14" t="n">
        <v>3129</v>
      </c>
      <c r="F20" s="14" t="n">
        <v>3152</v>
      </c>
      <c r="G20" s="15" t="s">
        <v>363</v>
      </c>
    </row>
    <row r="21" customFormat="false" ht="15" hidden="false" customHeight="false" outlineLevel="0" collapsed="false">
      <c r="B21" s="8" t="s">
        <v>364</v>
      </c>
      <c r="C21" s="14" t="n">
        <v>305</v>
      </c>
      <c r="D21" s="14" t="n">
        <v>282</v>
      </c>
      <c r="E21" s="14" t="n">
        <v>181</v>
      </c>
      <c r="F21" s="14" t="n">
        <v>209</v>
      </c>
      <c r="G21" s="15" t="s">
        <v>365</v>
      </c>
    </row>
    <row r="22" customFormat="false" ht="23.85" hidden="false" customHeight="false" outlineLevel="0" collapsed="false">
      <c r="B22" s="8" t="s">
        <v>366</v>
      </c>
      <c r="C22" s="14" t="n">
        <v>2</v>
      </c>
      <c r="D22" s="14" t="n">
        <v>2</v>
      </c>
      <c r="E22" s="14" t="n">
        <v>2</v>
      </c>
      <c r="F22" s="14" t="n">
        <v>2</v>
      </c>
      <c r="G22" s="15" t="s">
        <v>367</v>
      </c>
    </row>
    <row r="23" customFormat="false" ht="15" hidden="false" customHeight="false" outlineLevel="0" collapsed="false">
      <c r="B23" s="8" t="s">
        <v>368</v>
      </c>
      <c r="C23" s="14" t="n">
        <v>1</v>
      </c>
      <c r="D23" s="14" t="n">
        <v>1</v>
      </c>
      <c r="E23" s="14" t="n">
        <v>1</v>
      </c>
      <c r="F23" s="14" t="n">
        <v>2</v>
      </c>
      <c r="G23" s="15" t="s">
        <v>369</v>
      </c>
    </row>
    <row r="24" customFormat="false" ht="15" hidden="false" customHeight="false" outlineLevel="0" collapsed="false">
      <c r="B24" s="8" t="s">
        <v>370</v>
      </c>
      <c r="C24" s="14" t="n">
        <v>87</v>
      </c>
      <c r="D24" s="14" t="n">
        <v>14</v>
      </c>
      <c r="E24" s="14" t="n">
        <v>13</v>
      </c>
      <c r="F24" s="14" t="n">
        <v>21</v>
      </c>
      <c r="G24" s="15" t="s">
        <v>371</v>
      </c>
    </row>
    <row r="25" customFormat="false" ht="15" hidden="false" customHeight="false" outlineLevel="0" collapsed="false">
      <c r="B25" s="8" t="s">
        <v>263</v>
      </c>
      <c r="C25" s="14" t="n">
        <v>4271</v>
      </c>
      <c r="D25" s="14" t="n">
        <v>3788</v>
      </c>
      <c r="E25" s="14" t="n">
        <v>3836</v>
      </c>
      <c r="F25" s="14" t="n">
        <v>3724</v>
      </c>
      <c r="G25" s="15" t="s">
        <v>352</v>
      </c>
    </row>
    <row r="26" customFormat="false" ht="15" hidden="false" customHeight="false" outlineLevel="0" collapsed="false">
      <c r="B26" s="8" t="s">
        <v>372</v>
      </c>
      <c r="C26" s="14" t="n">
        <v>1283</v>
      </c>
      <c r="D26" s="14" t="n">
        <v>1196</v>
      </c>
      <c r="E26" s="14" t="n">
        <v>1183</v>
      </c>
      <c r="F26" s="14" t="n">
        <v>1086</v>
      </c>
      <c r="G26" s="15" t="s">
        <v>373</v>
      </c>
    </row>
    <row r="27" customFormat="false" ht="15" hidden="false" customHeight="false" outlineLevel="0" collapsed="false">
      <c r="B27" s="8" t="s">
        <v>374</v>
      </c>
      <c r="C27" s="14" t="n">
        <v>1522</v>
      </c>
      <c r="D27" s="14" t="n">
        <v>1525</v>
      </c>
      <c r="E27" s="14" t="n">
        <v>1558</v>
      </c>
      <c r="F27" s="14" t="n">
        <v>1600</v>
      </c>
      <c r="G27" s="15" t="s">
        <v>375</v>
      </c>
    </row>
    <row r="28" customFormat="false" ht="15" hidden="false" customHeight="false" outlineLevel="0" collapsed="false">
      <c r="B28" s="8" t="s">
        <v>376</v>
      </c>
      <c r="C28" s="14" t="n">
        <v>1540</v>
      </c>
      <c r="D28" s="14" t="n">
        <v>1533</v>
      </c>
      <c r="E28" s="14" t="n">
        <v>1565</v>
      </c>
      <c r="F28" s="14" t="n">
        <v>1611</v>
      </c>
      <c r="G28" s="15" t="s">
        <v>377</v>
      </c>
    </row>
    <row r="29" customFormat="false" ht="15" hidden="false" customHeight="false" outlineLevel="0" collapsed="false">
      <c r="B29" s="8" t="s">
        <v>378</v>
      </c>
      <c r="C29" s="14" t="n">
        <v>-18</v>
      </c>
      <c r="D29" s="14" t="n">
        <v>-8</v>
      </c>
      <c r="E29" s="14" t="n">
        <v>-7</v>
      </c>
      <c r="F29" s="14" t="n">
        <v>-11</v>
      </c>
      <c r="G29" s="15" t="s">
        <v>377</v>
      </c>
    </row>
    <row r="30" customFormat="false" ht="15" hidden="false" customHeight="false" outlineLevel="0" collapsed="false">
      <c r="B30" s="8" t="s">
        <v>379</v>
      </c>
      <c r="C30" s="14" t="n">
        <v>68</v>
      </c>
      <c r="D30" s="14" t="n">
        <v>74</v>
      </c>
      <c r="E30" s="14" t="n">
        <v>55</v>
      </c>
      <c r="F30" s="14" t="n">
        <v>53</v>
      </c>
      <c r="G30" s="15" t="s">
        <v>380</v>
      </c>
    </row>
    <row r="31" customFormat="false" ht="23.85" hidden="false" customHeight="false" outlineLevel="0" collapsed="false">
      <c r="B31" s="8" t="s">
        <v>381</v>
      </c>
      <c r="C31" s="14" t="n">
        <v>383</v>
      </c>
      <c r="D31" s="14" t="n">
        <v>292</v>
      </c>
      <c r="E31" s="14" t="n">
        <v>365</v>
      </c>
      <c r="F31" s="14" t="n">
        <v>494</v>
      </c>
      <c r="G31" s="15" t="s">
        <v>382</v>
      </c>
    </row>
    <row r="32" customFormat="false" ht="15" hidden="false" customHeight="false" outlineLevel="0" collapsed="false">
      <c r="B32" s="8" t="s">
        <v>383</v>
      </c>
      <c r="C32" s="14" t="n">
        <v>138</v>
      </c>
      <c r="D32" s="14" t="n">
        <v>81</v>
      </c>
      <c r="E32" s="14" t="n">
        <v>81</v>
      </c>
      <c r="F32" s="14" t="n">
        <v>94</v>
      </c>
      <c r="G32" s="15" t="s">
        <v>384</v>
      </c>
    </row>
    <row r="33" customFormat="false" ht="15" hidden="false" customHeight="false" outlineLevel="0" collapsed="false">
      <c r="B33" s="8" t="s">
        <v>385</v>
      </c>
      <c r="C33" s="14" t="n">
        <v>68</v>
      </c>
      <c r="D33" s="14" t="n">
        <v>80</v>
      </c>
      <c r="E33" s="14" t="n">
        <v>110</v>
      </c>
      <c r="F33" s="14" t="n">
        <v>145</v>
      </c>
      <c r="G33" s="15" t="s">
        <v>384</v>
      </c>
    </row>
    <row r="34" customFormat="false" ht="15" hidden="false" customHeight="false" outlineLevel="0" collapsed="false">
      <c r="B34" s="8" t="s">
        <v>386</v>
      </c>
      <c r="C34" s="14" t="n">
        <v>14</v>
      </c>
      <c r="D34" s="14" t="n">
        <v>14</v>
      </c>
      <c r="E34" s="14" t="n">
        <v>13</v>
      </c>
      <c r="F34" s="14" t="n">
        <v>11</v>
      </c>
      <c r="G34" s="15" t="s">
        <v>384</v>
      </c>
    </row>
    <row r="35" customFormat="false" ht="15" hidden="false" customHeight="false" outlineLevel="0" collapsed="false">
      <c r="B35" s="8" t="s">
        <v>387</v>
      </c>
      <c r="C35" s="14" t="n">
        <v>163</v>
      </c>
      <c r="D35" s="14" t="n">
        <v>117</v>
      </c>
      <c r="E35" s="14" t="n">
        <v>161</v>
      </c>
      <c r="F35" s="14" t="n">
        <v>244</v>
      </c>
      <c r="G35" s="15" t="s">
        <v>388</v>
      </c>
    </row>
    <row r="36" customFormat="false" ht="23.85" hidden="false" customHeight="false" outlineLevel="0" collapsed="false">
      <c r="B36" s="8" t="s">
        <v>389</v>
      </c>
      <c r="C36" s="14" t="n">
        <v>4</v>
      </c>
      <c r="D36" s="14" t="n">
        <v>13</v>
      </c>
      <c r="E36" s="14" t="n">
        <v>3</v>
      </c>
      <c r="F36" s="14" t="n">
        <v>9</v>
      </c>
      <c r="G36" s="15" t="s">
        <v>390</v>
      </c>
    </row>
    <row r="37" customFormat="false" ht="23.85" hidden="false" customHeight="false" outlineLevel="0" collapsed="false">
      <c r="B37" s="8" t="s">
        <v>391</v>
      </c>
      <c r="C37" s="14" t="n">
        <v>1011</v>
      </c>
      <c r="D37" s="14" t="n">
        <v>688</v>
      </c>
      <c r="E37" s="14" t="n">
        <v>672</v>
      </c>
      <c r="F37" s="14" t="n">
        <v>482</v>
      </c>
      <c r="G37" s="15" t="s">
        <v>380</v>
      </c>
    </row>
    <row r="38" customFormat="false" ht="15" hidden="false" customHeight="false" outlineLevel="0" collapsed="false">
      <c r="B38" s="8" t="s">
        <v>282</v>
      </c>
      <c r="C38" s="14" t="n">
        <v>10007</v>
      </c>
      <c r="D38" s="14" t="n">
        <v>9300</v>
      </c>
      <c r="E38" s="14" t="n">
        <v>9688</v>
      </c>
      <c r="F38" s="14" t="n">
        <v>9282</v>
      </c>
      <c r="G38" s="15" t="s">
        <v>392</v>
      </c>
    </row>
    <row r="41" customFormat="false" ht="15" hidden="false" customHeight="false" outlineLevel="0" collapsed="false">
      <c r="B41" s="3" t="s">
        <v>137</v>
      </c>
    </row>
    <row r="42" customFormat="false" ht="15" hidden="false" customHeight="false" outlineLevel="0" collapsed="false">
      <c r="B42" s="2" t="s">
        <v>138</v>
      </c>
    </row>
    <row r="43" customFormat="false" ht="15" hidden="false" customHeight="false" outlineLevel="0" collapsed="false">
      <c r="B43" s="13" t="s">
        <v>139</v>
      </c>
      <c r="C43" s="13" t="s">
        <v>70</v>
      </c>
      <c r="D43" s="13" t="s">
        <v>71</v>
      </c>
      <c r="E43" s="13" t="s">
        <v>72</v>
      </c>
      <c r="F43" s="13" t="s">
        <v>175</v>
      </c>
      <c r="G43" s="13" t="s">
        <v>140</v>
      </c>
    </row>
    <row r="44" customFormat="false" ht="15" hidden="false" customHeight="false" outlineLevel="0" collapsed="false">
      <c r="B44" s="17" t="s">
        <v>141</v>
      </c>
      <c r="C44" s="18" t="s">
        <v>142</v>
      </c>
      <c r="D44" s="18" t="s">
        <v>143</v>
      </c>
      <c r="E44" s="18" t="s">
        <v>144</v>
      </c>
      <c r="F44" s="18" t="s">
        <v>241</v>
      </c>
      <c r="G44" s="19" t="s">
        <v>145</v>
      </c>
    </row>
    <row r="45" customFormat="false" ht="15" hidden="false" customHeight="false" outlineLevel="0" collapsed="false">
      <c r="B45" s="20" t="s">
        <v>146</v>
      </c>
      <c r="C45" s="21"/>
      <c r="D45" s="21"/>
      <c r="E45" s="21"/>
      <c r="F45" s="21"/>
      <c r="G45" s="21"/>
    </row>
    <row r="46" customFormat="false" ht="15" hidden="false" customHeight="false" outlineLevel="0" collapsed="false">
      <c r="B46" s="17" t="s">
        <v>147</v>
      </c>
      <c r="C46" s="22"/>
      <c r="D46" s="22"/>
      <c r="E46" s="22"/>
      <c r="F46" s="22"/>
      <c r="G46" s="23" t="s">
        <v>148</v>
      </c>
    </row>
    <row r="47" customFormat="false" ht="15" hidden="false" customHeight="false" outlineLevel="0" collapsed="false">
      <c r="B47" s="17" t="s">
        <v>149</v>
      </c>
      <c r="C47" s="22"/>
      <c r="D47" s="22"/>
      <c r="E47" s="22"/>
      <c r="F47" s="22"/>
      <c r="G47" s="23" t="s">
        <v>148</v>
      </c>
    </row>
    <row r="48" customFormat="false" ht="15" hidden="false" customHeight="false" outlineLevel="0" collapsed="false">
      <c r="B48" s="17" t="s">
        <v>150</v>
      </c>
      <c r="C48" s="22"/>
      <c r="D48" s="22"/>
      <c r="E48" s="22"/>
      <c r="F48" s="22"/>
      <c r="G48" s="23" t="s">
        <v>148</v>
      </c>
    </row>
    <row r="49" customFormat="false" ht="15" hidden="false" customHeight="false" outlineLevel="0" collapsed="false">
      <c r="B49" s="17" t="s">
        <v>151</v>
      </c>
      <c r="C49" s="22"/>
      <c r="D49" s="22"/>
      <c r="E49" s="22"/>
      <c r="F49" s="22"/>
      <c r="G49" s="23" t="s">
        <v>148</v>
      </c>
    </row>
    <row r="50" customFormat="false" ht="15" hidden="false" customHeight="false" outlineLevel="0" collapsed="false">
      <c r="B50" s="20" t="s">
        <v>152</v>
      </c>
      <c r="C50" s="21"/>
      <c r="D50" s="21"/>
      <c r="E50" s="21"/>
      <c r="F50" s="21"/>
      <c r="G50" s="21"/>
    </row>
    <row r="51" customFormat="false" ht="15" hidden="false" customHeight="false" outlineLevel="0" collapsed="false">
      <c r="B51" s="17" t="s">
        <v>153</v>
      </c>
      <c r="C51" s="14" t="n">
        <v>1522</v>
      </c>
      <c r="D51" s="14" t="n">
        <v>1525</v>
      </c>
      <c r="E51" s="14" t="n">
        <v>1558</v>
      </c>
      <c r="F51" s="14" t="n">
        <v>1600</v>
      </c>
      <c r="G51" s="19" t="s">
        <v>145</v>
      </c>
    </row>
    <row r="52" customFormat="false" ht="15" hidden="false" customHeight="false" outlineLevel="0" collapsed="false">
      <c r="B52" s="24" t="s">
        <v>154</v>
      </c>
      <c r="C52" s="22"/>
      <c r="D52" s="22"/>
      <c r="E52" s="22"/>
      <c r="F52" s="22"/>
      <c r="G52" s="23" t="s">
        <v>148</v>
      </c>
    </row>
    <row r="53" customFormat="false" ht="15" hidden="false" customHeight="false" outlineLevel="0" collapsed="false">
      <c r="B53" s="24" t="s">
        <v>155</v>
      </c>
      <c r="C53" s="14" t="n">
        <v>-18</v>
      </c>
      <c r="D53" s="14" t="n">
        <v>-8</v>
      </c>
      <c r="E53" s="14" t="n">
        <v>-7</v>
      </c>
      <c r="F53" s="14" t="n">
        <v>-11</v>
      </c>
      <c r="G53" s="19" t="s">
        <v>145</v>
      </c>
    </row>
    <row r="54" customFormat="false" ht="15" hidden="false" customHeight="false" outlineLevel="0" collapsed="false">
      <c r="B54" s="17" t="s">
        <v>156</v>
      </c>
      <c r="C54" s="14" t="n">
        <v>1283</v>
      </c>
      <c r="D54" s="14" t="n">
        <v>1196</v>
      </c>
      <c r="E54" s="14" t="n">
        <v>1183</v>
      </c>
      <c r="F54" s="14" t="n">
        <v>1086</v>
      </c>
      <c r="G54" s="19" t="s">
        <v>145</v>
      </c>
    </row>
    <row r="55" customFormat="false" ht="15" hidden="false" customHeight="false" outlineLevel="0" collapsed="false">
      <c r="B55" s="24" t="s">
        <v>157</v>
      </c>
      <c r="C55" s="22"/>
      <c r="D55" s="22"/>
      <c r="E55" s="22"/>
      <c r="F55" s="22"/>
      <c r="G55" s="23" t="s">
        <v>148</v>
      </c>
    </row>
    <row r="56" customFormat="false" ht="15" hidden="false" customHeight="false" outlineLevel="0" collapsed="false">
      <c r="B56" s="24" t="s">
        <v>158</v>
      </c>
      <c r="C56" s="22"/>
      <c r="D56" s="22"/>
      <c r="E56" s="22"/>
      <c r="F56" s="22"/>
      <c r="G56" s="23" t="s">
        <v>148</v>
      </c>
    </row>
    <row r="57" customFormat="false" ht="15" hidden="false" customHeight="false" outlineLevel="0" collapsed="false">
      <c r="B57" s="24" t="s">
        <v>159</v>
      </c>
      <c r="C57" s="22"/>
      <c r="D57" s="22"/>
      <c r="E57" s="22"/>
      <c r="F57" s="22"/>
      <c r="G57" s="23" t="s">
        <v>148</v>
      </c>
    </row>
    <row r="58" customFormat="false" ht="15" hidden="false" customHeight="false" outlineLevel="0" collapsed="false">
      <c r="B58" s="17" t="s">
        <v>160</v>
      </c>
      <c r="C58" s="22"/>
      <c r="D58" s="22"/>
      <c r="E58" s="22"/>
      <c r="F58" s="22"/>
      <c r="G58" s="23" t="s">
        <v>148</v>
      </c>
    </row>
    <row r="59" customFormat="false" ht="15" hidden="false" customHeight="false" outlineLevel="0" collapsed="false">
      <c r="B59" s="24" t="s">
        <v>161</v>
      </c>
      <c r="C59" s="22"/>
      <c r="D59" s="22"/>
      <c r="E59" s="22"/>
      <c r="F59" s="22"/>
      <c r="G59" s="23" t="s">
        <v>148</v>
      </c>
    </row>
    <row r="60" customFormat="false" ht="15" hidden="false" customHeight="false" outlineLevel="0" collapsed="false">
      <c r="B60" s="17" t="s">
        <v>162</v>
      </c>
      <c r="C60" s="22"/>
      <c r="D60" s="22"/>
      <c r="E60" s="22"/>
      <c r="F60" s="22"/>
      <c r="G60" s="23" t="s">
        <v>148</v>
      </c>
    </row>
    <row r="61" customFormat="false" ht="15" hidden="false" customHeight="false" outlineLevel="0" collapsed="false">
      <c r="B61" s="20" t="s">
        <v>163</v>
      </c>
      <c r="C61" s="21"/>
      <c r="D61" s="21"/>
      <c r="E61" s="21"/>
      <c r="F61" s="21"/>
      <c r="G61" s="21"/>
    </row>
    <row r="62" customFormat="false" ht="15" hidden="false" customHeight="false" outlineLevel="0" collapsed="false">
      <c r="B62" s="17" t="s">
        <v>164</v>
      </c>
      <c r="C62" s="14" t="n">
        <v>10007</v>
      </c>
      <c r="D62" s="14" t="n">
        <v>9300</v>
      </c>
      <c r="E62" s="14" t="n">
        <v>9688</v>
      </c>
      <c r="F62" s="14" t="n">
        <v>9282</v>
      </c>
      <c r="G62" s="19" t="s">
        <v>145</v>
      </c>
    </row>
    <row r="63" customFormat="false" ht="15" hidden="false" customHeight="false" outlineLevel="0" collapsed="false">
      <c r="B63" s="17" t="s">
        <v>165</v>
      </c>
      <c r="C63" s="22"/>
      <c r="D63" s="22"/>
      <c r="E63" s="22"/>
      <c r="F63" s="22"/>
      <c r="G63" s="23" t="s">
        <v>148</v>
      </c>
    </row>
    <row r="66" customFormat="false" ht="15" hidden="false" customHeight="false" outlineLevel="0" collapsed="false">
      <c r="B66" s="3" t="s">
        <v>166</v>
      </c>
    </row>
    <row r="67" customFormat="false" ht="27.75" hidden="false" customHeight="true" outlineLevel="0" collapsed="false">
      <c r="B67" s="25" t="s">
        <v>393</v>
      </c>
      <c r="C67" s="25"/>
      <c r="D67" s="25"/>
      <c r="E67" s="25"/>
      <c r="F67" s="25"/>
      <c r="G67" s="25"/>
    </row>
    <row r="68" customFormat="false" ht="27.75" hidden="false" customHeight="true" outlineLevel="0" collapsed="false">
      <c r="B68" s="25" t="s">
        <v>394</v>
      </c>
      <c r="C68" s="25"/>
      <c r="D68" s="25"/>
      <c r="E68" s="25"/>
      <c r="F68" s="25"/>
      <c r="G68" s="25"/>
    </row>
    <row r="69" customFormat="false" ht="27.75" hidden="false" customHeight="true" outlineLevel="0" collapsed="false">
      <c r="B69" s="25" t="s">
        <v>395</v>
      </c>
      <c r="C69" s="25"/>
      <c r="D69" s="25"/>
      <c r="E69" s="25"/>
      <c r="F69" s="25"/>
      <c r="G69" s="25"/>
    </row>
    <row r="70" customFormat="false" ht="27.75" hidden="false" customHeight="true" outlineLevel="0" collapsed="false">
      <c r="B70" s="25" t="s">
        <v>396</v>
      </c>
      <c r="C70" s="25"/>
      <c r="D70" s="25"/>
      <c r="E70" s="25"/>
      <c r="F70" s="25"/>
      <c r="G70" s="25"/>
    </row>
    <row r="71" customFormat="false" ht="27.75" hidden="false" customHeight="true" outlineLevel="0" collapsed="false">
      <c r="B71" s="25" t="s">
        <v>171</v>
      </c>
      <c r="C71" s="25"/>
      <c r="D71" s="25"/>
      <c r="E71" s="25"/>
      <c r="F71" s="25"/>
      <c r="G71" s="25"/>
    </row>
  </sheetData>
  <mergeCells count="10">
    <mergeCell ref="C6:E6"/>
    <mergeCell ref="C7:E7"/>
    <mergeCell ref="C8:E8"/>
    <mergeCell ref="C9:E9"/>
    <mergeCell ref="C10:E10"/>
    <mergeCell ref="B67:G67"/>
    <mergeCell ref="B68:G68"/>
    <mergeCell ref="B69:G69"/>
    <mergeCell ref="B70:G70"/>
    <mergeCell ref="B71:G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8" min="3" style="0" width="15"/>
  </cols>
  <sheetData>
    <row r="2" customFormat="false" ht="17.35" hidden="false" customHeight="false" outlineLevel="0" collapsed="false">
      <c r="B2" s="1" t="s">
        <v>397</v>
      </c>
    </row>
    <row r="3" customFormat="false" ht="15" hidden="false" customHeight="false" outlineLevel="0" collapsed="false">
      <c r="B3" s="2" t="s">
        <v>398</v>
      </c>
    </row>
    <row r="5" customFormat="false" ht="15" hidden="false" customHeight="false" outlineLevel="0" collapsed="false">
      <c r="B5" s="3" t="s">
        <v>399</v>
      </c>
      <c r="C5" s="26" t="s">
        <v>72</v>
      </c>
      <c r="D5" s="2" t="s">
        <v>400</v>
      </c>
    </row>
    <row r="7" customFormat="false" ht="15" hidden="false" customHeight="false" outlineLevel="0" collapsed="false">
      <c r="B7" s="13" t="s">
        <v>139</v>
      </c>
      <c r="C7" s="13" t="s">
        <v>10</v>
      </c>
      <c r="D7" s="13" t="s">
        <v>16</v>
      </c>
      <c r="E7" s="13" t="s">
        <v>20</v>
      </c>
      <c r="F7" s="13" t="s">
        <v>23</v>
      </c>
      <c r="G7" s="13" t="s">
        <v>401</v>
      </c>
      <c r="H7" s="13" t="s">
        <v>402</v>
      </c>
    </row>
    <row r="8" customFormat="false" ht="15" hidden="false" customHeight="false" outlineLevel="0" collapsed="false">
      <c r="B8" s="17" t="s">
        <v>141</v>
      </c>
      <c r="C8" s="22"/>
      <c r="D8" s="27" t="str">
        <f aca="false">IF(01_AAA!E67="","",01_AAA!E67)</f>
        <v>31/12/2024</v>
      </c>
      <c r="E8" s="27" t="str">
        <f aca="false">IF(02_NTP!E60="","",02_NTP!E60)</f>
        <v>31/12/2024</v>
      </c>
      <c r="F8" s="27" t="str">
        <f aca="false">IF(03_SKP!E38="","",03_SKP!E38)</f>
        <v>31/03/2024</v>
      </c>
      <c r="G8" s="27" t="str">
        <f aca="false">IF(04_Sanko!E45="","",04_Sanko!E45)</f>
        <v/>
      </c>
      <c r="H8" s="27" t="str">
        <f aca="false">IF(05_Nolato!E44="","",05_Nolato!E44)</f>
        <v>31/12/2024</v>
      </c>
    </row>
    <row r="9" customFormat="false" ht="15" hidden="false" customHeight="false" outlineLevel="0" collapsed="false">
      <c r="B9" s="17" t="s">
        <v>147</v>
      </c>
      <c r="C9" s="22"/>
      <c r="D9" s="27" t="str">
        <f aca="false">IF(01_AAA!E69="","",01_AAA!E69)</f>
        <v/>
      </c>
      <c r="E9" s="27" t="str">
        <f aca="false">IF(02_NTP!E62="","",02_NTP!E62)</f>
        <v/>
      </c>
      <c r="F9" s="27" t="str">
        <f aca="false">IF(03_SKP!E40="","",03_SKP!E40)</f>
        <v/>
      </c>
      <c r="G9" s="27" t="str">
        <f aca="false">IF(04_Sanko!E47="","",04_Sanko!E47)</f>
        <v/>
      </c>
      <c r="H9" s="27" t="str">
        <f aca="false">IF(05_Nolato!E46="","",05_Nolato!E46)</f>
        <v/>
      </c>
    </row>
    <row r="10" customFormat="false" ht="15" hidden="false" customHeight="false" outlineLevel="0" collapsed="false">
      <c r="B10" s="17" t="s">
        <v>149</v>
      </c>
      <c r="C10" s="22"/>
      <c r="D10" s="27" t="str">
        <f aca="false">IF(01_AAA!E70="","",01_AAA!E70)</f>
        <v/>
      </c>
      <c r="E10" s="27" t="str">
        <f aca="false">IF(02_NTP!E63="","",02_NTP!E63)</f>
        <v/>
      </c>
      <c r="F10" s="27" t="str">
        <f aca="false">IF(03_SKP!E41="","",03_SKP!E41)</f>
        <v/>
      </c>
      <c r="G10" s="27" t="str">
        <f aca="false">IF(04_Sanko!E48="","",04_Sanko!E48)</f>
        <v/>
      </c>
      <c r="H10" s="27" t="str">
        <f aca="false">IF(05_Nolato!E47="","",05_Nolato!E47)</f>
        <v/>
      </c>
    </row>
    <row r="11" customFormat="false" ht="15" hidden="false" customHeight="false" outlineLevel="0" collapsed="false">
      <c r="B11" s="17" t="s">
        <v>150</v>
      </c>
      <c r="C11" s="22"/>
      <c r="D11" s="27" t="str">
        <f aca="false">IF(01_AAA!E71="","",01_AAA!E71)</f>
        <v/>
      </c>
      <c r="E11" s="27" t="str">
        <f aca="false">IF(02_NTP!E64="","",02_NTP!E64)</f>
        <v/>
      </c>
      <c r="F11" s="27" t="str">
        <f aca="false">IF(03_SKP!E42="","",03_SKP!E42)</f>
        <v/>
      </c>
      <c r="G11" s="27" t="str">
        <f aca="false">IF(04_Sanko!E49="","",04_Sanko!E49)</f>
        <v/>
      </c>
      <c r="H11" s="27" t="str">
        <f aca="false">IF(05_Nolato!E48="","",05_Nolato!E48)</f>
        <v/>
      </c>
    </row>
    <row r="12" customFormat="false" ht="15" hidden="false" customHeight="false" outlineLevel="0" collapsed="false">
      <c r="B12" s="17" t="s">
        <v>151</v>
      </c>
      <c r="C12" s="22"/>
      <c r="D12" s="27" t="str">
        <f aca="false">IF(01_AAA!E72="","",01_AAA!E72)</f>
        <v/>
      </c>
      <c r="E12" s="27" t="str">
        <f aca="false">IF(02_NTP!E65="","",02_NTP!E65)</f>
        <v/>
      </c>
      <c r="F12" s="27" t="str">
        <f aca="false">IF(03_SKP!E43="","",03_SKP!E43)</f>
        <v/>
      </c>
      <c r="G12" s="27" t="str">
        <f aca="false">IF(04_Sanko!E50="","",04_Sanko!E50)</f>
        <v/>
      </c>
      <c r="H12" s="27" t="str">
        <f aca="false">IF(05_Nolato!E49="","",05_Nolato!E49)</f>
        <v/>
      </c>
    </row>
    <row r="13" customFormat="false" ht="15" hidden="false" customHeight="false" outlineLevel="0" collapsed="false">
      <c r="B13" s="17" t="s">
        <v>153</v>
      </c>
      <c r="C13" s="22"/>
      <c r="D13" s="27" t="n">
        <f aca="false">IF(01_AAA!E74="","",01_AAA!E74)</f>
        <v>1205499960149</v>
      </c>
      <c r="E13" s="27" t="n">
        <f aca="false">IF(02_NTP!E67="","",02_NTP!E67)</f>
        <v>388318659135</v>
      </c>
      <c r="F13" s="27" t="n">
        <f aca="false">IF(03_SKP!E45="","",03_SKP!E45)</f>
        <v>442117</v>
      </c>
      <c r="G13" s="27" t="n">
        <f aca="false">IF(04_Sanko!E52="","",04_Sanko!E52)</f>
        <v>19706</v>
      </c>
      <c r="H13" s="27" t="n">
        <f aca="false">IF(05_Nolato!E51="","",05_Nolato!E51)</f>
        <v>1558</v>
      </c>
    </row>
    <row r="14" customFormat="false" ht="15" hidden="false" customHeight="false" outlineLevel="0" collapsed="false">
      <c r="B14" s="24" t="s">
        <v>154</v>
      </c>
      <c r="C14" s="22"/>
      <c r="D14" s="27" t="str">
        <f aca="false">IF(01_AAA!E75="","",01_AAA!E75)</f>
        <v/>
      </c>
      <c r="E14" s="27" t="str">
        <f aca="false">IF(02_NTP!E68="","",02_NTP!E68)</f>
        <v/>
      </c>
      <c r="F14" s="27" t="str">
        <f aca="false">IF(03_SKP!E46="","",03_SKP!E46)</f>
        <v/>
      </c>
      <c r="G14" s="27" t="n">
        <f aca="false">IF(04_Sanko!E53="","",04_Sanko!E53)</f>
        <v>1145</v>
      </c>
      <c r="H14" s="27" t="str">
        <f aca="false">IF(05_Nolato!E52="","",05_Nolato!E52)</f>
        <v/>
      </c>
    </row>
    <row r="15" customFormat="false" ht="15" hidden="false" customHeight="false" outlineLevel="0" collapsed="false">
      <c r="B15" s="24" t="s">
        <v>155</v>
      </c>
      <c r="C15" s="22"/>
      <c r="D15" s="27" t="str">
        <f aca="false">IF(01_AAA!E76="","",01_AAA!E76)</f>
        <v/>
      </c>
      <c r="E15" s="27" t="str">
        <f aca="false">IF(02_NTP!E69="","",02_NTP!E69)</f>
        <v/>
      </c>
      <c r="F15" s="27" t="n">
        <f aca="false">IF(03_SKP!E47="","",03_SKP!E47)</f>
        <v>-444</v>
      </c>
      <c r="G15" s="27" t="str">
        <f aca="false">IF(04_Sanko!E54="","",04_Sanko!E54)</f>
        <v/>
      </c>
      <c r="H15" s="27" t="n">
        <f aca="false">IF(05_Nolato!E53="","",05_Nolato!E53)</f>
        <v>-7</v>
      </c>
    </row>
    <row r="16" customFormat="false" ht="15" hidden="false" customHeight="false" outlineLevel="0" collapsed="false">
      <c r="B16" s="17" t="s">
        <v>156</v>
      </c>
      <c r="C16" s="22"/>
      <c r="D16" s="27" t="n">
        <f aca="false">IF(01_AAA!E77="","",01_AAA!E77)</f>
        <v>1286443372106</v>
      </c>
      <c r="E16" s="27" t="n">
        <f aca="false">IF(02_NTP!E70="","",02_NTP!E70)</f>
        <v>1005126876948</v>
      </c>
      <c r="F16" s="27" t="n">
        <f aca="false">IF(03_SKP!E48="","",03_SKP!E48)</f>
        <v>187481</v>
      </c>
      <c r="G16" s="27" t="n">
        <f aca="false">IF(04_Sanko!E55="","",04_Sanko!E55)</f>
        <v>8357</v>
      </c>
      <c r="H16" s="27" t="n">
        <f aca="false">IF(05_Nolato!E54="","",05_Nolato!E54)</f>
        <v>1183</v>
      </c>
    </row>
    <row r="17" customFormat="false" ht="15" hidden="false" customHeight="false" outlineLevel="0" collapsed="false">
      <c r="B17" s="24" t="s">
        <v>157</v>
      </c>
      <c r="C17" s="22"/>
      <c r="D17" s="27" t="str">
        <f aca="false">IF(01_AAA!E78="","",01_AAA!E78)</f>
        <v/>
      </c>
      <c r="E17" s="27" t="str">
        <f aca="false">IF(02_NTP!E71="","",02_NTP!E71)</f>
        <v/>
      </c>
      <c r="F17" s="27" t="str">
        <f aca="false">IF(03_SKP!E49="","",03_SKP!E49)</f>
        <v/>
      </c>
      <c r="G17" s="27" t="n">
        <f aca="false">IF(04_Sanko!E56="","",04_Sanko!E56)</f>
        <v>1956</v>
      </c>
      <c r="H17" s="27" t="str">
        <f aca="false">IF(05_Nolato!E55="","",05_Nolato!E55)</f>
        <v/>
      </c>
    </row>
    <row r="18" customFormat="false" ht="15" hidden="false" customHeight="false" outlineLevel="0" collapsed="false">
      <c r="B18" s="24" t="s">
        <v>158</v>
      </c>
      <c r="C18" s="22"/>
      <c r="D18" s="27" t="str">
        <f aca="false">IF(01_AAA!E79="","",01_AAA!E79)</f>
        <v/>
      </c>
      <c r="E18" s="27" t="str">
        <f aca="false">IF(02_NTP!E72="","",02_NTP!E72)</f>
        <v/>
      </c>
      <c r="F18" s="27" t="str">
        <f aca="false">IF(03_SKP!E50="","",03_SKP!E50)</f>
        <v/>
      </c>
      <c r="G18" s="27" t="n">
        <f aca="false">IF(04_Sanko!E57="","",04_Sanko!E57)</f>
        <v>4340</v>
      </c>
      <c r="H18" s="27" t="str">
        <f aca="false">IF(05_Nolato!E56="","",05_Nolato!E56)</f>
        <v/>
      </c>
    </row>
    <row r="19" customFormat="false" ht="15" hidden="false" customHeight="false" outlineLevel="0" collapsed="false">
      <c r="B19" s="24" t="s">
        <v>159</v>
      </c>
      <c r="C19" s="22"/>
      <c r="D19" s="27" t="str">
        <f aca="false">IF(01_AAA!E80="","",01_AAA!E80)</f>
        <v/>
      </c>
      <c r="E19" s="27" t="str">
        <f aca="false">IF(02_NTP!E73="","",02_NTP!E73)</f>
        <v/>
      </c>
      <c r="F19" s="27" t="str">
        <f aca="false">IF(03_SKP!E51="","",03_SKP!E51)</f>
        <v/>
      </c>
      <c r="G19" s="27" t="n">
        <f aca="false">IF(04_Sanko!E58="","",04_Sanko!E58)</f>
        <v>2061</v>
      </c>
      <c r="H19" s="27" t="str">
        <f aca="false">IF(05_Nolato!E57="","",05_Nolato!E57)</f>
        <v/>
      </c>
    </row>
    <row r="20" customFormat="false" ht="15" hidden="false" customHeight="false" outlineLevel="0" collapsed="false">
      <c r="B20" s="17" t="s">
        <v>160</v>
      </c>
      <c r="C20" s="22"/>
      <c r="D20" s="27" t="str">
        <f aca="false">IF(01_AAA!E81="","",01_AAA!E81)</f>
        <v/>
      </c>
      <c r="E20" s="27" t="str">
        <f aca="false">IF(02_NTP!E74="","",02_NTP!E74)</f>
        <v/>
      </c>
      <c r="F20" s="27" t="str">
        <f aca="false">IF(03_SKP!E52="","",03_SKP!E52)</f>
        <v/>
      </c>
      <c r="G20" s="27" t="str">
        <f aca="false">IF(04_Sanko!E59="","",04_Sanko!E59)</f>
        <v/>
      </c>
      <c r="H20" s="27" t="str">
        <f aca="false">IF(05_Nolato!E58="","",05_Nolato!E58)</f>
        <v/>
      </c>
    </row>
    <row r="21" customFormat="false" ht="15" hidden="false" customHeight="false" outlineLevel="0" collapsed="false">
      <c r="B21" s="24" t="s">
        <v>161</v>
      </c>
      <c r="C21" s="22"/>
      <c r="D21" s="27" t="str">
        <f aca="false">IF(01_AAA!E82="","",01_AAA!E82)</f>
        <v/>
      </c>
      <c r="E21" s="27" t="str">
        <f aca="false">IF(02_NTP!E75="","",02_NTP!E75)</f>
        <v/>
      </c>
      <c r="F21" s="27" t="str">
        <f aca="false">IF(03_SKP!E53="","",03_SKP!E53)</f>
        <v/>
      </c>
      <c r="G21" s="27" t="str">
        <f aca="false">IF(04_Sanko!E60="","",04_Sanko!E60)</f>
        <v/>
      </c>
      <c r="H21" s="27" t="str">
        <f aca="false">IF(05_Nolato!E59="","",05_Nolato!E59)</f>
        <v/>
      </c>
    </row>
    <row r="22" customFormat="false" ht="15" hidden="false" customHeight="false" outlineLevel="0" collapsed="false">
      <c r="B22" s="17" t="s">
        <v>162</v>
      </c>
      <c r="C22" s="22"/>
      <c r="D22" s="27" t="str">
        <f aca="false">IF(01_AAA!E83="","",01_AAA!E83)</f>
        <v/>
      </c>
      <c r="E22" s="27" t="str">
        <f aca="false">IF(02_NTP!E76="","",02_NTP!E76)</f>
        <v/>
      </c>
      <c r="F22" s="27" t="str">
        <f aca="false">IF(03_SKP!E54="","",03_SKP!E54)</f>
        <v/>
      </c>
      <c r="G22" s="27" t="str">
        <f aca="false">IF(04_Sanko!E61="","",04_Sanko!E61)</f>
        <v/>
      </c>
      <c r="H22" s="27" t="str">
        <f aca="false">IF(05_Nolato!E60="","",05_Nolato!E60)</f>
        <v/>
      </c>
    </row>
    <row r="23" customFormat="false" ht="15" hidden="false" customHeight="false" outlineLevel="0" collapsed="false">
      <c r="B23" s="17" t="s">
        <v>164</v>
      </c>
      <c r="C23" s="22"/>
      <c r="D23" s="27" t="n">
        <f aca="false">IF(01_AAA!E85="","",01_AAA!E85)</f>
        <v>13768215584455</v>
      </c>
      <c r="E23" s="27" t="n">
        <f aca="false">IF(02_NTP!E78="","",02_NTP!E78)</f>
        <v>6414871527523</v>
      </c>
      <c r="F23" s="27" t="n">
        <f aca="false">IF(03_SKP!E56="","",03_SKP!E56)</f>
        <v>1340368</v>
      </c>
      <c r="G23" s="27" t="n">
        <f aca="false">IF(04_Sanko!E63="","",04_Sanko!E63)</f>
        <v>74930</v>
      </c>
      <c r="H23" s="27" t="n">
        <f aca="false">IF(05_Nolato!E62="","",05_Nolato!E62)</f>
        <v>9688</v>
      </c>
    </row>
    <row r="24" customFormat="false" ht="15" hidden="false" customHeight="false" outlineLevel="0" collapsed="false">
      <c r="B24" s="17" t="s">
        <v>165</v>
      </c>
      <c r="C24" s="22"/>
      <c r="D24" s="27" t="str">
        <f aca="false">IF(01_AAA!E86="","",01_AAA!E86)</f>
        <v/>
      </c>
      <c r="E24" s="27" t="str">
        <f aca="false">IF(02_NTP!E79="","",02_NTP!E79)</f>
        <v/>
      </c>
      <c r="F24" s="27" t="str">
        <f aca="false">IF(03_SKP!E57="","",03_SKP!E57)</f>
        <v/>
      </c>
      <c r="G24" s="27" t="str">
        <f aca="false">IF(04_Sanko!E64="","",04_Sanko!E64)</f>
        <v/>
      </c>
      <c r="H24" s="27" t="str">
        <f aca="false">IF(05_Nolato!E63="","",05_Nolato!E63)</f>
        <v/>
      </c>
    </row>
    <row r="26" customFormat="false" ht="15" hidden="false" customHeight="false" outlineLevel="0" collapsed="false">
      <c r="B26" s="28" t="s">
        <v>403</v>
      </c>
      <c r="C26" s="28"/>
      <c r="D26" s="28"/>
      <c r="E26" s="28"/>
      <c r="F26" s="28"/>
      <c r="G26" s="28"/>
      <c r="H26" s="28"/>
    </row>
    <row r="27" customFormat="false" ht="15" hidden="false" customHeight="false" outlineLevel="0" collapsed="false">
      <c r="B27" s="28" t="s">
        <v>404</v>
      </c>
      <c r="C27" s="28"/>
      <c r="D27" s="28"/>
      <c r="E27" s="28"/>
      <c r="F27" s="28"/>
      <c r="G27" s="28"/>
      <c r="H27" s="28"/>
    </row>
    <row r="28" customFormat="false" ht="15" hidden="false" customHeight="false" outlineLevel="0" collapsed="false">
      <c r="B28" s="28" t="s">
        <v>405</v>
      </c>
      <c r="C28" s="28"/>
      <c r="D28" s="28"/>
      <c r="E28" s="28"/>
      <c r="F28" s="28"/>
      <c r="G28" s="28"/>
      <c r="H28" s="28"/>
    </row>
  </sheetData>
  <mergeCells count="3">
    <mergeCell ref="B26:H26"/>
    <mergeCell ref="B27:H27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20"/>
  </cols>
  <sheetData>
    <row r="2" customFormat="false" ht="17.35" hidden="false" customHeight="false" outlineLevel="0" collapsed="false">
      <c r="B2" s="1" t="s">
        <v>406</v>
      </c>
    </row>
    <row r="3" customFormat="false" ht="15" hidden="false" customHeight="false" outlineLevel="0" collapsed="false">
      <c r="B3" s="2" t="s">
        <v>407</v>
      </c>
    </row>
    <row r="5" customFormat="false" ht="15" hidden="false" customHeight="false" outlineLevel="0" collapsed="false">
      <c r="B5" s="4" t="s">
        <v>3</v>
      </c>
      <c r="C5" s="4" t="s">
        <v>408</v>
      </c>
      <c r="D5" s="4" t="s">
        <v>409</v>
      </c>
    </row>
    <row r="6" customFormat="false" ht="15" hidden="false" customHeight="false" outlineLevel="0" collapsed="false">
      <c r="B6" s="7" t="s">
        <v>16</v>
      </c>
      <c r="C6" s="8" t="s">
        <v>410</v>
      </c>
      <c r="D6" s="15" t="s">
        <v>411</v>
      </c>
    </row>
    <row r="7" customFormat="false" ht="23.85" hidden="false" customHeight="false" outlineLevel="0" collapsed="false">
      <c r="B7" s="5" t="s">
        <v>16</v>
      </c>
      <c r="C7" s="6" t="s">
        <v>412</v>
      </c>
      <c r="D7" s="29" t="s">
        <v>413</v>
      </c>
    </row>
    <row r="8" customFormat="false" ht="15" hidden="false" customHeight="false" outlineLevel="0" collapsed="false">
      <c r="B8" s="7" t="s">
        <v>16</v>
      </c>
      <c r="C8" s="8" t="s">
        <v>414</v>
      </c>
      <c r="D8" s="15" t="s">
        <v>415</v>
      </c>
    </row>
    <row r="9" customFormat="false" ht="23.85" hidden="false" customHeight="false" outlineLevel="0" collapsed="false">
      <c r="B9" s="5" t="s">
        <v>16</v>
      </c>
      <c r="C9" s="6" t="s">
        <v>416</v>
      </c>
      <c r="D9" s="29" t="s">
        <v>417</v>
      </c>
    </row>
    <row r="10" customFormat="false" ht="15" hidden="false" customHeight="false" outlineLevel="0" collapsed="false">
      <c r="B10" s="7" t="s">
        <v>16</v>
      </c>
      <c r="C10" s="8" t="s">
        <v>418</v>
      </c>
      <c r="D10" s="15" t="s">
        <v>419</v>
      </c>
    </row>
    <row r="11" customFormat="false" ht="23.85" hidden="false" customHeight="false" outlineLevel="0" collapsed="false">
      <c r="B11" s="5" t="s">
        <v>16</v>
      </c>
      <c r="C11" s="6" t="s">
        <v>420</v>
      </c>
      <c r="D11" s="29" t="s">
        <v>421</v>
      </c>
    </row>
    <row r="12" customFormat="false" ht="23.85" hidden="false" customHeight="false" outlineLevel="0" collapsed="false">
      <c r="B12" s="7" t="s">
        <v>16</v>
      </c>
      <c r="C12" s="8" t="s">
        <v>422</v>
      </c>
      <c r="D12" s="15" t="s">
        <v>423</v>
      </c>
    </row>
    <row r="13" customFormat="false" ht="23.85" hidden="false" customHeight="false" outlineLevel="0" collapsed="false">
      <c r="B13" s="5" t="s">
        <v>16</v>
      </c>
      <c r="C13" s="6" t="s">
        <v>424</v>
      </c>
      <c r="D13" s="29" t="s">
        <v>425</v>
      </c>
    </row>
    <row r="14" customFormat="false" ht="15" hidden="false" customHeight="false" outlineLevel="0" collapsed="false">
      <c r="B14" s="7" t="s">
        <v>20</v>
      </c>
      <c r="C14" s="8" t="s">
        <v>410</v>
      </c>
      <c r="D14" s="15" t="s">
        <v>411</v>
      </c>
    </row>
    <row r="15" customFormat="false" ht="23.85" hidden="false" customHeight="false" outlineLevel="0" collapsed="false">
      <c r="B15" s="5" t="s">
        <v>20</v>
      </c>
      <c r="C15" s="6" t="s">
        <v>412</v>
      </c>
      <c r="D15" s="29" t="s">
        <v>413</v>
      </c>
    </row>
    <row r="16" customFormat="false" ht="15" hidden="false" customHeight="false" outlineLevel="0" collapsed="false">
      <c r="B16" s="7" t="s">
        <v>20</v>
      </c>
      <c r="C16" s="8" t="s">
        <v>414</v>
      </c>
      <c r="D16" s="15" t="s">
        <v>415</v>
      </c>
    </row>
    <row r="17" customFormat="false" ht="23.85" hidden="false" customHeight="false" outlineLevel="0" collapsed="false">
      <c r="B17" s="5" t="s">
        <v>20</v>
      </c>
      <c r="C17" s="6" t="s">
        <v>416</v>
      </c>
      <c r="D17" s="29" t="s">
        <v>417</v>
      </c>
    </row>
    <row r="18" customFormat="false" ht="15" hidden="false" customHeight="false" outlineLevel="0" collapsed="false">
      <c r="B18" s="7" t="s">
        <v>20</v>
      </c>
      <c r="C18" s="8" t="s">
        <v>418</v>
      </c>
      <c r="D18" s="15" t="s">
        <v>419</v>
      </c>
    </row>
    <row r="19" customFormat="false" ht="23.85" hidden="false" customHeight="false" outlineLevel="0" collapsed="false">
      <c r="B19" s="5" t="s">
        <v>20</v>
      </c>
      <c r="C19" s="6" t="s">
        <v>420</v>
      </c>
      <c r="D19" s="29" t="s">
        <v>421</v>
      </c>
    </row>
    <row r="20" customFormat="false" ht="23.85" hidden="false" customHeight="false" outlineLevel="0" collapsed="false">
      <c r="B20" s="7" t="s">
        <v>20</v>
      </c>
      <c r="C20" s="8" t="s">
        <v>422</v>
      </c>
      <c r="D20" s="15" t="s">
        <v>423</v>
      </c>
    </row>
    <row r="21" customFormat="false" ht="23.85" hidden="false" customHeight="false" outlineLevel="0" collapsed="false">
      <c r="B21" s="5" t="s">
        <v>20</v>
      </c>
      <c r="C21" s="6" t="s">
        <v>426</v>
      </c>
      <c r="D21" s="29" t="s">
        <v>427</v>
      </c>
    </row>
    <row r="22" customFormat="false" ht="15" hidden="false" customHeight="false" outlineLevel="0" collapsed="false">
      <c r="B22" s="7" t="s">
        <v>23</v>
      </c>
      <c r="C22" s="8" t="s">
        <v>410</v>
      </c>
      <c r="D22" s="15" t="s">
        <v>411</v>
      </c>
    </row>
    <row r="23" customFormat="false" ht="23.85" hidden="false" customHeight="false" outlineLevel="0" collapsed="false">
      <c r="B23" s="5" t="s">
        <v>23</v>
      </c>
      <c r="C23" s="6" t="s">
        <v>412</v>
      </c>
      <c r="D23" s="29" t="s">
        <v>413</v>
      </c>
    </row>
    <row r="24" customFormat="false" ht="15" hidden="false" customHeight="false" outlineLevel="0" collapsed="false">
      <c r="B24" s="7" t="s">
        <v>23</v>
      </c>
      <c r="C24" s="8" t="s">
        <v>414</v>
      </c>
      <c r="D24" s="15" t="s">
        <v>415</v>
      </c>
    </row>
    <row r="25" customFormat="false" ht="23.85" hidden="false" customHeight="false" outlineLevel="0" collapsed="false">
      <c r="B25" s="5" t="s">
        <v>23</v>
      </c>
      <c r="C25" s="6" t="s">
        <v>416</v>
      </c>
      <c r="D25" s="29" t="s">
        <v>417</v>
      </c>
    </row>
    <row r="26" customFormat="false" ht="15" hidden="false" customHeight="false" outlineLevel="0" collapsed="false">
      <c r="B26" s="7" t="s">
        <v>23</v>
      </c>
      <c r="C26" s="8" t="s">
        <v>418</v>
      </c>
      <c r="D26" s="15" t="s">
        <v>419</v>
      </c>
    </row>
    <row r="27" customFormat="false" ht="23.85" hidden="false" customHeight="false" outlineLevel="0" collapsed="false">
      <c r="B27" s="5" t="s">
        <v>23</v>
      </c>
      <c r="C27" s="6" t="s">
        <v>420</v>
      </c>
      <c r="D27" s="29" t="s">
        <v>421</v>
      </c>
    </row>
    <row r="28" customFormat="false" ht="23.85" hidden="false" customHeight="false" outlineLevel="0" collapsed="false">
      <c r="B28" s="7" t="s">
        <v>23</v>
      </c>
      <c r="C28" s="8" t="s">
        <v>422</v>
      </c>
      <c r="D28" s="15" t="s">
        <v>423</v>
      </c>
    </row>
    <row r="29" customFormat="false" ht="23.85" hidden="false" customHeight="false" outlineLevel="0" collapsed="false">
      <c r="B29" s="5" t="s">
        <v>23</v>
      </c>
      <c r="C29" s="6" t="s">
        <v>428</v>
      </c>
      <c r="D29" s="29" t="s">
        <v>429</v>
      </c>
    </row>
    <row r="30" customFormat="false" ht="15" hidden="false" customHeight="false" outlineLevel="0" collapsed="false">
      <c r="B30" s="7" t="s">
        <v>401</v>
      </c>
      <c r="C30" s="8" t="s">
        <v>410</v>
      </c>
      <c r="D30" s="15" t="s">
        <v>411</v>
      </c>
    </row>
    <row r="31" customFormat="false" ht="23.85" hidden="false" customHeight="false" outlineLevel="0" collapsed="false">
      <c r="B31" s="5" t="s">
        <v>401</v>
      </c>
      <c r="C31" s="6" t="s">
        <v>412</v>
      </c>
      <c r="D31" s="29" t="s">
        <v>413</v>
      </c>
    </row>
    <row r="32" customFormat="false" ht="15" hidden="false" customHeight="false" outlineLevel="0" collapsed="false">
      <c r="B32" s="7" t="s">
        <v>401</v>
      </c>
      <c r="C32" s="8" t="s">
        <v>414</v>
      </c>
      <c r="D32" s="15" t="s">
        <v>415</v>
      </c>
    </row>
    <row r="33" customFormat="false" ht="23.85" hidden="false" customHeight="false" outlineLevel="0" collapsed="false">
      <c r="B33" s="5" t="s">
        <v>401</v>
      </c>
      <c r="C33" s="6" t="s">
        <v>416</v>
      </c>
      <c r="D33" s="29" t="s">
        <v>417</v>
      </c>
    </row>
    <row r="34" customFormat="false" ht="15" hidden="false" customHeight="false" outlineLevel="0" collapsed="false">
      <c r="B34" s="7" t="s">
        <v>401</v>
      </c>
      <c r="C34" s="8" t="s">
        <v>418</v>
      </c>
      <c r="D34" s="15" t="s">
        <v>419</v>
      </c>
    </row>
    <row r="35" customFormat="false" ht="23.85" hidden="false" customHeight="false" outlineLevel="0" collapsed="false">
      <c r="B35" s="5" t="s">
        <v>401</v>
      </c>
      <c r="C35" s="6" t="s">
        <v>420</v>
      </c>
      <c r="D35" s="29" t="s">
        <v>421</v>
      </c>
    </row>
    <row r="36" customFormat="false" ht="23.85" hidden="false" customHeight="false" outlineLevel="0" collapsed="false">
      <c r="B36" s="7" t="s">
        <v>401</v>
      </c>
      <c r="C36" s="8" t="s">
        <v>422</v>
      </c>
      <c r="D36" s="15" t="s">
        <v>423</v>
      </c>
    </row>
    <row r="37" customFormat="false" ht="23.85" hidden="false" customHeight="false" outlineLevel="0" collapsed="false">
      <c r="B37" s="5" t="s">
        <v>401</v>
      </c>
      <c r="C37" s="6" t="s">
        <v>430</v>
      </c>
      <c r="D37" s="29" t="s">
        <v>431</v>
      </c>
    </row>
    <row r="38" customFormat="false" ht="23.85" hidden="false" customHeight="false" outlineLevel="0" collapsed="false">
      <c r="B38" s="7" t="s">
        <v>401</v>
      </c>
      <c r="C38" s="8" t="s">
        <v>432</v>
      </c>
      <c r="D38" s="15" t="s">
        <v>433</v>
      </c>
    </row>
    <row r="39" customFormat="false" ht="15" hidden="false" customHeight="false" outlineLevel="0" collapsed="false">
      <c r="B39" s="5" t="s">
        <v>402</v>
      </c>
      <c r="C39" s="6" t="s">
        <v>410</v>
      </c>
      <c r="D39" s="29" t="s">
        <v>411</v>
      </c>
    </row>
    <row r="40" customFormat="false" ht="23.85" hidden="false" customHeight="false" outlineLevel="0" collapsed="false">
      <c r="B40" s="7" t="s">
        <v>402</v>
      </c>
      <c r="C40" s="8" t="s">
        <v>412</v>
      </c>
      <c r="D40" s="15" t="s">
        <v>413</v>
      </c>
    </row>
    <row r="41" customFormat="false" ht="15" hidden="false" customHeight="false" outlineLevel="0" collapsed="false">
      <c r="B41" s="5" t="s">
        <v>402</v>
      </c>
      <c r="C41" s="6" t="s">
        <v>414</v>
      </c>
      <c r="D41" s="29" t="s">
        <v>415</v>
      </c>
    </row>
    <row r="42" customFormat="false" ht="23.85" hidden="false" customHeight="false" outlineLevel="0" collapsed="false">
      <c r="B42" s="7" t="s">
        <v>402</v>
      </c>
      <c r="C42" s="8" t="s">
        <v>416</v>
      </c>
      <c r="D42" s="15" t="s">
        <v>417</v>
      </c>
    </row>
    <row r="43" customFormat="false" ht="15" hidden="false" customHeight="false" outlineLevel="0" collapsed="false">
      <c r="B43" s="5" t="s">
        <v>402</v>
      </c>
      <c r="C43" s="6" t="s">
        <v>418</v>
      </c>
      <c r="D43" s="29" t="s">
        <v>419</v>
      </c>
    </row>
    <row r="44" customFormat="false" ht="23.85" hidden="false" customHeight="false" outlineLevel="0" collapsed="false">
      <c r="B44" s="7" t="s">
        <v>402</v>
      </c>
      <c r="C44" s="8" t="s">
        <v>420</v>
      </c>
      <c r="D44" s="15" t="s">
        <v>421</v>
      </c>
    </row>
    <row r="45" customFormat="false" ht="23.85" hidden="false" customHeight="false" outlineLevel="0" collapsed="false">
      <c r="B45" s="5" t="s">
        <v>402</v>
      </c>
      <c r="C45" s="6" t="s">
        <v>422</v>
      </c>
      <c r="D45" s="29" t="s">
        <v>423</v>
      </c>
    </row>
    <row r="46" customFormat="false" ht="23.85" hidden="false" customHeight="false" outlineLevel="0" collapsed="false">
      <c r="B46" s="7" t="s">
        <v>402</v>
      </c>
      <c r="C46" s="8" t="s">
        <v>434</v>
      </c>
      <c r="D46" s="15" t="s">
        <v>435</v>
      </c>
    </row>
    <row r="48" customFormat="false" ht="30" hidden="false" customHeight="true" outlineLevel="0" collapsed="false">
      <c r="B48" s="30" t="s">
        <v>436</v>
      </c>
      <c r="C48" s="30"/>
      <c r="D48" s="30"/>
    </row>
  </sheetData>
  <mergeCells count="1">
    <mergeCell ref="B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2026-08-16T18:03:07Z</dcterms:created>
  <dc:creator>openpyxl</dc:creator>
  <dc:description/>
  <dc:language>en-US</dc:language>
  <cp:lastModifiedBy/>
  <dcterms:modified xsi:type="dcterms:W3CDTF">2026-08-16T18:03:07Z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